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Monthly Cashflow - Conservative" sheetId="2" state="visible" r:id="rId2"/>
    <sheet xmlns:r="http://schemas.openxmlformats.org/officeDocument/2006/relationships" name="Monthly Cashflow - Moderate" sheetId="3" state="visible" r:id="rId3"/>
    <sheet xmlns:r="http://schemas.openxmlformats.org/officeDocument/2006/relationships" name="Monthly Cashflow - Optimistic" sheetId="4" state="visible" r:id="rId4"/>
    <sheet xmlns:r="http://schemas.openxmlformats.org/officeDocument/2006/relationships" name="Revenue by Stream" sheetId="5" state="visible" r:id="rId5"/>
    <sheet xmlns:r="http://schemas.openxmlformats.org/officeDocument/2006/relationships" name="Conversion Assumptions" sheetId="6" state="visible" r:id="rId6"/>
    <sheet xmlns:r="http://schemas.openxmlformats.org/officeDocument/2006/relationships" name="Sensitivity Analysis" sheetId="7" state="visible" r:id="rId7"/>
    <sheet xmlns:r="http://schemas.openxmlformats.org/officeDocument/2006/relationships" name="Pricing Scenarios" sheetId="8" state="visible" r:id="rId8"/>
    <sheet xmlns:r="http://schemas.openxmlformats.org/officeDocument/2006/relationships" name="KPI Tracker" sheetId="9" state="visible" r:id="rId9"/>
    <sheet xmlns:r="http://schemas.openxmlformats.org/officeDocument/2006/relationships" name="6-Month Roadma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1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1B3A5C"/>
      <sz val="13"/>
    </font>
    <font>
      <b val="1"/>
      <color rgb="00FFFFFF"/>
    </font>
    <font>
      <b val="1"/>
    </font>
    <font>
      <b val="1"/>
      <color rgb="00FFFFFF"/>
      <sz val="14"/>
    </font>
    <font>
      <b val="1"/>
      <color rgb="00FFFFFF"/>
      <sz val="10"/>
    </font>
    <font>
      <color rgb="00FFFFFF"/>
    </font>
    <font>
      <b val="1"/>
      <color rgb="001B3A5C"/>
      <sz val="12"/>
    </font>
    <font>
      <i val="1"/>
      <color rgb="00666666"/>
    </font>
    <font>
      <b val="1"/>
      <color rgb="00006100"/>
    </font>
    <font>
      <b val="1"/>
      <color rgb="00006100"/>
      <sz val="10"/>
    </font>
    <font>
      <b val="1"/>
      <color rgb="001B3A5C"/>
      <sz val="11"/>
    </font>
    <font>
      <i val="1"/>
    </font>
  </fonts>
  <fills count="10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35">
    <border>
      <left/>
      <right/>
      <top/>
      <bottom/>
      <diagonal/>
    </border>
    <border>
      <left/>
      <right/>
      <top/>
      <bottom style="medium">
        <color rgb="001B3A5C"/>
      </bottom>
    </border>
    <border>
      <left style="medium">
        <color rgb="001B3A5C"/>
      </left>
      <right/>
      <top style="medium">
        <color rgb="001B3A5C"/>
      </top>
      <bottom/>
    </border>
    <border>
      <left/>
      <right/>
      <top style="medium">
        <color rgb="001B3A5C"/>
      </top>
      <bottom/>
    </border>
    <border>
      <left/>
      <right style="medium">
        <color rgb="001B3A5C"/>
      </right>
      <top style="medium">
        <color rgb="001B3A5C"/>
      </top>
      <bottom/>
    </border>
    <border>
      <left style="medium">
        <color rgb="001B3A5C"/>
      </left>
      <right/>
      <top/>
      <bottom/>
    </border>
    <border>
      <left/>
      <right/>
      <top/>
      <bottom/>
    </border>
    <border>
      <left/>
      <right style="medium">
        <color rgb="001B3A5C"/>
      </right>
      <top/>
      <bottom/>
    </border>
    <border>
      <left style="medium">
        <color rgb="001B3A5C"/>
      </left>
      <right/>
      <top/>
      <bottom style="medium">
        <color rgb="001B3A5C"/>
      </bottom>
    </border>
    <border>
      <left/>
      <right style="medium">
        <color rgb="001B3A5C"/>
      </right>
      <top/>
      <bottom style="medium">
        <color rgb="001B3A5C"/>
      </bottom>
    </border>
    <border>
      <left style="medium">
        <color rgb="001B3A5C"/>
      </left>
      <right style="thin">
        <color rgb="00BFBFBF"/>
      </right>
      <top style="medium">
        <color rgb="001B3A5C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B3A5C"/>
      </top>
      <bottom style="thin">
        <color rgb="00BFBFBF"/>
      </bottom>
    </border>
    <border>
      <left style="thin">
        <color rgb="00BFBFBF"/>
      </left>
      <right style="medium">
        <color rgb="001B3A5C"/>
      </right>
      <top style="medium">
        <color rgb="001B3A5C"/>
      </top>
      <bottom style="thin">
        <color rgb="00BFBFBF"/>
      </bottom>
    </border>
    <border>
      <left style="medium">
        <color rgb="001B3A5C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1B3A5C"/>
      </right>
      <top style="thin">
        <color rgb="00BFBFBF"/>
      </top>
      <bottom style="thin">
        <color rgb="00BFBFBF"/>
      </bottom>
    </border>
    <border>
      <left style="medium">
        <color rgb="001B3A5C"/>
      </left>
      <right style="thin">
        <color rgb="00BFBFBF"/>
      </right>
      <top style="thin">
        <color rgb="00BFBFBF"/>
      </top>
      <bottom style="medium">
        <color rgb="001B3A5C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1B3A5C"/>
      </bottom>
    </border>
    <border>
      <left style="thin">
        <color rgb="00BFBFBF"/>
      </left>
      <right style="medium">
        <color rgb="001B3A5C"/>
      </right>
      <top style="thin">
        <color rgb="00BFBFBF"/>
      </top>
      <bottom style="medium">
        <color rgb="001B3A5C"/>
      </bottom>
    </border>
    <border>
      <left/>
      <right/>
      <top/>
      <bottom style="medium">
        <color rgb="001B3A5C"/>
      </bottom>
      <diagonal/>
    </border>
    <border>
      <left style="medium">
        <color rgb="001B3A5C"/>
      </left>
      <right/>
      <top style="medium">
        <color rgb="001B3A5C"/>
      </top>
      <bottom style="medium">
        <color rgb="001B3A5C"/>
      </bottom>
    </border>
    <border>
      <left/>
      <right/>
      <top style="medium">
        <color rgb="001B3A5C"/>
      </top>
      <bottom style="medium">
        <color rgb="001B3A5C"/>
      </bottom>
    </border>
    <border>
      <left/>
      <right style="medium">
        <color rgb="001B3A5C"/>
      </right>
      <top style="medium">
        <color rgb="001B3A5C"/>
      </top>
      <bottom style="medium">
        <color rgb="001B3A5C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medium">
        <color rgb="00006100"/>
      </left>
      <right/>
      <top style="medium">
        <color rgb="00006100"/>
      </top>
      <bottom style="medium">
        <color rgb="00006100"/>
      </bottom>
    </border>
    <border>
      <left/>
      <right/>
      <top style="medium">
        <color rgb="00006100"/>
      </top>
      <bottom style="medium">
        <color rgb="00006100"/>
      </bottom>
    </border>
    <border>
      <left/>
      <right style="medium">
        <color rgb="00006100"/>
      </right>
      <top style="medium">
        <color rgb="00006100"/>
      </top>
      <bottom style="medium">
        <color rgb="00006100"/>
      </bottom>
    </border>
    <border>
      <left style="medium">
        <color rgb="00006100"/>
      </left>
      <right style="medium">
        <color rgb="00006100"/>
      </right>
      <top style="medium">
        <color rgb="00006100"/>
      </top>
      <bottom style="medium">
        <color rgb="00006100"/>
      </bottom>
    </border>
    <border>
      <left/>
      <right/>
      <top style="medium">
        <color rgb="00006100"/>
      </top>
      <bottom/>
      <diagonal/>
    </border>
    <border>
      <left/>
      <right style="medium">
        <color rgb="00006100"/>
      </right>
      <top style="medium">
        <color rgb="00006100"/>
      </top>
      <bottom/>
      <diagonal/>
    </border>
    <border>
      <left/>
      <right/>
      <top style="medium">
        <color rgb="00006100"/>
      </top>
      <bottom style="medium">
        <color rgb="00006100"/>
      </bottom>
      <diagonal/>
    </border>
    <border>
      <left/>
      <right style="medium">
        <color rgb="00006100"/>
      </right>
      <top style="medium">
        <color rgb="00006100"/>
      </top>
      <bottom style="medium">
        <color rgb="00006100"/>
      </bottom>
      <diagonal/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0" borderId="1" pivotButton="0" quotePrefix="0" xfId="0"/>
    <xf numFmtId="0" fontId="4" fillId="2" borderId="1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5" fillId="5" borderId="13" applyAlignment="1" pivotButton="0" quotePrefix="0" xfId="0">
      <alignment horizontal="center"/>
    </xf>
    <xf numFmtId="164" fontId="0" fillId="5" borderId="14" applyAlignment="1" pivotButton="0" quotePrefix="0" xfId="0">
      <alignment horizontal="center"/>
    </xf>
    <xf numFmtId="165" fontId="0" fillId="5" borderId="15" applyAlignment="1" pivotButton="0" quotePrefix="0" xfId="0">
      <alignment horizontal="center"/>
    </xf>
    <xf numFmtId="0" fontId="0" fillId="5" borderId="13" pivotButton="0" quotePrefix="0" xfId="0"/>
    <xf numFmtId="9" fontId="0" fillId="5" borderId="14" applyAlignment="1" pivotButton="0" quotePrefix="0" xfId="0">
      <alignment horizontal="center"/>
    </xf>
    <xf numFmtId="164" fontId="0" fillId="5" borderId="15" applyAlignment="1" pivotButton="0" quotePrefix="0" xfId="0">
      <alignment horizontal="center"/>
    </xf>
    <xf numFmtId="0" fontId="5" fillId="6" borderId="13" applyAlignment="1" pivotButton="0" quotePrefix="0" xfId="0">
      <alignment horizontal="center"/>
    </xf>
    <xf numFmtId="164" fontId="0" fillId="6" borderId="14" applyAlignment="1" pivotButton="0" quotePrefix="0" xfId="0">
      <alignment horizontal="center"/>
    </xf>
    <xf numFmtId="165" fontId="0" fillId="6" borderId="15" applyAlignment="1" pivotButton="0" quotePrefix="0" xfId="0">
      <alignment horizontal="center"/>
    </xf>
    <xf numFmtId="0" fontId="0" fillId="6" borderId="13" pivotButton="0" quotePrefix="0" xfId="0"/>
    <xf numFmtId="9" fontId="0" fillId="6" borderId="14" applyAlignment="1" pivotButton="0" quotePrefix="0" xfId="0">
      <alignment horizontal="center"/>
    </xf>
    <xf numFmtId="164" fontId="0" fillId="6" borderId="15" applyAlignment="1" pivotButton="0" quotePrefix="0" xfId="0">
      <alignment horizontal="center"/>
    </xf>
    <xf numFmtId="0" fontId="5" fillId="5" borderId="16" applyAlignment="1" pivotButton="0" quotePrefix="0" xfId="0">
      <alignment horizontal="center"/>
    </xf>
    <xf numFmtId="164" fontId="0" fillId="5" borderId="17" applyAlignment="1" pivotButton="0" quotePrefix="0" xfId="0">
      <alignment horizontal="center"/>
    </xf>
    <xf numFmtId="165" fontId="0" fillId="5" borderId="18" applyAlignment="1" pivotButton="0" quotePrefix="0" xfId="0">
      <alignment horizontal="center"/>
    </xf>
    <xf numFmtId="0" fontId="0" fillId="6" borderId="16" pivotButton="0" quotePrefix="0" xfId="0"/>
    <xf numFmtId="9" fontId="0" fillId="6" borderId="17" applyAlignment="1" pivotButton="0" quotePrefix="0" xfId="0">
      <alignment horizontal="center"/>
    </xf>
    <xf numFmtId="164" fontId="0" fillId="6" borderId="17" applyAlignment="1" pivotButton="0" quotePrefix="0" xfId="0">
      <alignment horizontal="center"/>
    </xf>
    <xf numFmtId="164" fontId="0" fillId="6" borderId="18" applyAlignment="1" pivotButton="0" quotePrefix="0" xfId="0">
      <alignment horizontal="center"/>
    </xf>
    <xf numFmtId="0" fontId="5" fillId="5" borderId="13" pivotButton="0" quotePrefix="0" xfId="0"/>
    <xf numFmtId="164" fontId="5" fillId="5" borderId="15" applyAlignment="1" pivotButton="0" quotePrefix="0" xfId="0">
      <alignment horizontal="center"/>
    </xf>
    <xf numFmtId="0" fontId="5" fillId="0" borderId="16" pivotButton="0" quotePrefix="0" xfId="0"/>
    <xf numFmtId="164" fontId="0" fillId="0" borderId="17" applyAlignment="1" pivotButton="0" quotePrefix="0" xfId="0">
      <alignment horizontal="center"/>
    </xf>
    <xf numFmtId="164" fontId="5" fillId="0" borderId="18" applyAlignment="1" pivotButton="0" quotePrefix="0" xfId="0">
      <alignment horizontal="center"/>
    </xf>
    <xf numFmtId="0" fontId="0" fillId="0" borderId="19" pivotButton="0" quotePrefix="0" xfId="0"/>
    <xf numFmtId="0" fontId="5" fillId="7" borderId="13" pivotButton="0" quotePrefix="0" xfId="0"/>
    <xf numFmtId="0" fontId="0" fillId="7" borderId="15" applyAlignment="1" pivotButton="0" quotePrefix="0" xfId="0">
      <alignment horizontal="center"/>
    </xf>
    <xf numFmtId="0" fontId="5" fillId="6" borderId="13" pivotButton="0" quotePrefix="0" xfId="0"/>
    <xf numFmtId="0" fontId="0" fillId="6" borderId="15" applyAlignment="1" pivotButton="0" quotePrefix="0" xfId="0">
      <alignment horizontal="center"/>
    </xf>
    <xf numFmtId="0" fontId="5" fillId="4" borderId="16" pivotButton="0" quotePrefix="0" xfId="0"/>
    <xf numFmtId="164" fontId="5" fillId="4" borderId="17" applyAlignment="1" pivotButton="0" quotePrefix="0" xfId="0">
      <alignment horizontal="center"/>
    </xf>
    <xf numFmtId="164" fontId="5" fillId="4" borderId="18" applyAlignment="1" pivotButton="0" quotePrefix="0" xfId="0">
      <alignment horizontal="center"/>
    </xf>
    <xf numFmtId="0" fontId="5" fillId="7" borderId="16" pivotButton="0" quotePrefix="0" xfId="0"/>
    <xf numFmtId="0" fontId="0" fillId="7" borderId="18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/>
    </xf>
    <xf numFmtId="0" fontId="4" fillId="2" borderId="10" applyAlignment="1" pivotButton="0" quotePrefix="0" xfId="0">
      <alignment horizontal="center" wrapText="1"/>
    </xf>
    <xf numFmtId="0" fontId="4" fillId="2" borderId="11" applyAlignment="1" pivotButton="0" quotePrefix="0" xfId="0">
      <alignment horizontal="center" wrapText="1"/>
    </xf>
    <xf numFmtId="0" fontId="8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3" fontId="0" fillId="5" borderId="14" applyAlignment="1" pivotButton="0" quotePrefix="0" xfId="0">
      <alignment horizontal="center"/>
    </xf>
    <xf numFmtId="164" fontId="0" fillId="8" borderId="14" applyAlignment="1" pivotButton="0" quotePrefix="0" xfId="0">
      <alignment horizontal="center"/>
    </xf>
    <xf numFmtId="3" fontId="0" fillId="6" borderId="14" applyAlignment="1" pivotButton="0" quotePrefix="0" xfId="0">
      <alignment horizontal="center"/>
    </xf>
    <xf numFmtId="0" fontId="5" fillId="4" borderId="16" applyAlignment="1" pivotButton="0" quotePrefix="0" xfId="0">
      <alignment horizontal="center"/>
    </xf>
    <xf numFmtId="3" fontId="5" fillId="4" borderId="17" applyAlignment="1" pivotButton="0" quotePrefix="0" xfId="0">
      <alignment horizontal="center"/>
    </xf>
    <xf numFmtId="164" fontId="5" fillId="8" borderId="17" applyAlignment="1" pivotButton="0" quotePrefix="0" xfId="0">
      <alignment horizontal="center"/>
    </xf>
    <xf numFmtId="9" fontId="0" fillId="5" borderId="15" applyAlignment="1" pivotButton="0" quotePrefix="0" xfId="0">
      <alignment horizontal="center"/>
    </xf>
    <xf numFmtId="9" fontId="0" fillId="6" borderId="15" applyAlignment="1" pivotButton="0" quotePrefix="0" xfId="0">
      <alignment horizontal="center"/>
    </xf>
    <xf numFmtId="9" fontId="5" fillId="4" borderId="18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0" fontId="5" fillId="0" borderId="13" pivotButton="0" quotePrefix="0" xfId="0"/>
    <xf numFmtId="164" fontId="0" fillId="0" borderId="14" applyAlignment="1" pivotButton="0" quotePrefix="0" xfId="0">
      <alignment horizontal="center"/>
    </xf>
    <xf numFmtId="164" fontId="0" fillId="0" borderId="15" applyAlignment="1" pivotButton="0" quotePrefix="0" xfId="0">
      <alignment horizontal="center"/>
    </xf>
    <xf numFmtId="164" fontId="0" fillId="7" borderId="17" applyAlignment="1" pivotButton="0" quotePrefix="0" xfId="0">
      <alignment horizontal="center"/>
    </xf>
    <xf numFmtId="0" fontId="0" fillId="7" borderId="18" pivotButton="0" quotePrefix="0" xfId="0"/>
    <xf numFmtId="0" fontId="2" fillId="3" borderId="13" applyAlignment="1" pivotButton="0" quotePrefix="0" xfId="0">
      <alignment horizontal="left"/>
    </xf>
    <xf numFmtId="0" fontId="0" fillId="0" borderId="14" pivotButton="0" quotePrefix="0" xfId="0"/>
    <xf numFmtId="0" fontId="0" fillId="0" borderId="15" pivotButton="0" quotePrefix="0" xfId="0"/>
    <xf numFmtId="0" fontId="0" fillId="6" borderId="14" applyAlignment="1" pivotButton="0" quotePrefix="0" xfId="0">
      <alignment horizontal="center"/>
    </xf>
    <xf numFmtId="0" fontId="10" fillId="6" borderId="15" applyAlignment="1" pivotButton="0" quotePrefix="0" xfId="0">
      <alignment horizontal="left"/>
    </xf>
    <xf numFmtId="0" fontId="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left"/>
    </xf>
    <xf numFmtId="0" fontId="0" fillId="0" borderId="13" pivotButton="0" quotePrefix="0" xfId="0"/>
    <xf numFmtId="0" fontId="5" fillId="6" borderId="16" pivotButton="0" quotePrefix="0" xfId="0"/>
    <xf numFmtId="0" fontId="0" fillId="6" borderId="17" applyAlignment="1" pivotButton="0" quotePrefix="0" xfId="0">
      <alignment horizontal="center"/>
    </xf>
    <xf numFmtId="0" fontId="10" fillId="6" borderId="18" applyAlignment="1" pivotButton="0" quotePrefix="0" xfId="0">
      <alignment horizontal="left"/>
    </xf>
    <xf numFmtId="0" fontId="0" fillId="0" borderId="25" pivotButton="0" quotePrefix="0" xfId="0"/>
    <xf numFmtId="0" fontId="0" fillId="0" borderId="26" pivotButton="0" quotePrefix="0" xfId="0"/>
    <xf numFmtId="0" fontId="9" fillId="4" borderId="1" applyAlignment="1" pivotButton="0" quotePrefix="0" xfId="0">
      <alignment horizontal="left"/>
    </xf>
    <xf numFmtId="0" fontId="5" fillId="7" borderId="13" applyAlignment="1" pivotButton="0" quotePrefix="0" xfId="0">
      <alignment horizontal="center"/>
    </xf>
    <xf numFmtId="164" fontId="0" fillId="7" borderId="14" applyAlignment="1" pivotButton="0" quotePrefix="0" xfId="0">
      <alignment horizontal="center"/>
    </xf>
    <xf numFmtId="164" fontId="0" fillId="7" borderId="15" applyAlignment="1" pivotButton="0" quotePrefix="0" xfId="0">
      <alignment horizontal="center"/>
    </xf>
    <xf numFmtId="164" fontId="0" fillId="5" borderId="18" applyAlignment="1" pivotButton="0" quotePrefix="0" xfId="0">
      <alignment horizontal="center"/>
    </xf>
    <xf numFmtId="3" fontId="0" fillId="7" borderId="14" applyAlignment="1" pivotButton="0" quotePrefix="0" xfId="0">
      <alignment horizontal="center"/>
    </xf>
    <xf numFmtId="3" fontId="0" fillId="5" borderId="17" applyAlignment="1" pivotButton="0" quotePrefix="0" xfId="0">
      <alignment horizontal="center"/>
    </xf>
    <xf numFmtId="0" fontId="5" fillId="6" borderId="16" applyAlignment="1" pivotButton="0" quotePrefix="0" xfId="0">
      <alignment horizontal="center"/>
    </xf>
    <xf numFmtId="3" fontId="0" fillId="6" borderId="17" applyAlignment="1" pivotButton="0" quotePrefix="0" xfId="0">
      <alignment horizontal="center"/>
    </xf>
    <xf numFmtId="164" fontId="11" fillId="9" borderId="14" applyAlignment="1" pivotButton="0" quotePrefix="0" xfId="0">
      <alignment horizontal="center"/>
    </xf>
    <xf numFmtId="0" fontId="0" fillId="4" borderId="13" pivotButton="0" quotePrefix="0" xfId="0"/>
    <xf numFmtId="0" fontId="0" fillId="4" borderId="14" pivotButton="0" quotePrefix="0" xfId="0"/>
    <xf numFmtId="0" fontId="0" fillId="4" borderId="15" pivotButton="0" quotePrefix="0" xfId="0"/>
    <xf numFmtId="164" fontId="11" fillId="9" borderId="17" applyAlignment="1" pivotButton="0" quotePrefix="0" xfId="0">
      <alignment horizontal="center"/>
    </xf>
    <xf numFmtId="0" fontId="12" fillId="9" borderId="27" applyAlignment="1" pivotButton="0" quotePrefix="0" xfId="0">
      <alignment horizontal="center"/>
    </xf>
    <xf numFmtId="0" fontId="0" fillId="0" borderId="28" pivotButton="0" quotePrefix="0" xfId="0"/>
    <xf numFmtId="0" fontId="0" fillId="0" borderId="29" pivotButton="0" quotePrefix="0" xfId="0"/>
    <xf numFmtId="0" fontId="12" fillId="9" borderId="30" applyAlignment="1" pivotButton="0" quotePrefix="0" xfId="0">
      <alignment horizontal="center"/>
    </xf>
    <xf numFmtId="0" fontId="0" fillId="0" borderId="33" pivotButton="0" quotePrefix="0" xfId="0"/>
    <xf numFmtId="0" fontId="0" fillId="0" borderId="34" pivotButton="0" quotePrefix="0" xfId="0"/>
    <xf numFmtId="0" fontId="10" fillId="5" borderId="14" applyAlignment="1" pivotButton="0" quotePrefix="0" xfId="0">
      <alignment horizontal="center"/>
    </xf>
    <xf numFmtId="0" fontId="0" fillId="5" borderId="15" applyAlignment="1" pivotButton="0" quotePrefix="0" xfId="0">
      <alignment horizontal="center"/>
    </xf>
    <xf numFmtId="0" fontId="10" fillId="6" borderId="14" applyAlignment="1" pivotButton="0" quotePrefix="0" xfId="0">
      <alignment horizontal="center"/>
    </xf>
    <xf numFmtId="0" fontId="10" fillId="6" borderId="17" applyAlignment="1" pivotButton="0" quotePrefix="0" xfId="0">
      <alignment horizontal="center"/>
    </xf>
    <xf numFmtId="0" fontId="0" fillId="6" borderId="18" applyAlignment="1" pivotButton="0" quotePrefix="0" xfId="0">
      <alignment horizontal="center"/>
    </xf>
    <xf numFmtId="0" fontId="11" fillId="9" borderId="14" applyAlignment="1" pivotButton="0" quotePrefix="0" xfId="0">
      <alignment horizontal="center"/>
    </xf>
    <xf numFmtId="0" fontId="11" fillId="9" borderId="15" applyAlignment="1" pivotButton="0" quotePrefix="0" xfId="0">
      <alignment horizontal="center"/>
    </xf>
    <xf numFmtId="0" fontId="11" fillId="9" borderId="18" applyAlignment="1" pivotButton="0" quotePrefix="0" xfId="0">
      <alignment horizontal="center"/>
    </xf>
    <xf numFmtId="0" fontId="13" fillId="0" borderId="0" pivotButton="0" quotePrefix="0" xfId="0"/>
    <xf numFmtId="0" fontId="11" fillId="9" borderId="0" applyAlignment="1" pivotButton="0" quotePrefix="0" xfId="0">
      <alignment horizontal="center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worksheet" Target="worksheets/sheet8.xml" Id="rId8"/><Relationship Type="http://schemas.openxmlformats.org/officeDocument/2006/relationships/worksheet" Target="worksheets/sheet9.xml" Id="rId9"/><Relationship Type="http://schemas.openxmlformats.org/officeDocument/2006/relationships/worksheet" Target="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/>
              <a:t>Revenue Mix — Moderate Scenario</a:t>
            </a:r>
          </a:p>
        </rich>
      </tx>
      <overlay val="0"/>
    </title>
    <plotArea>
      <pieChart>
        <varyColors val="1"/>
        <ser>
          <idx val="0"/>
          <order val="0"/>
          <tx>
            <strRef>
              <f>'Executive Dashboard'!H5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Dashboard'!$F$6:$F$9</f>
            </numRef>
          </cat>
          <val>
            <numRef>
              <f>'Executive Dashboard'!$H$6:$H$9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  <overlay val="0"/>
      <txPr>
        <a:bodyPr xmlns:a="http://schemas.openxmlformats.org/drawingml/2006/main"/>
        <a:p xmlns:a="http://schemas.openxmlformats.org/drawingml/2006/main">
          <a:pPr>
            <a:defRPr sz="1000" b="0"/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/>
              <a:t>Monthly Revenue Trend — Moderate</a:t>
            </a:r>
          </a:p>
        </rich>
      </tx>
      <overlay val="0"/>
    </title>
    <plotArea>
      <lineChart>
        <grouping val="standard"/>
        <ser>
          <idx val="0"/>
          <order val="0"/>
          <tx>
            <v>Monthly Revenue</v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Dashboard'!$B$12:$M$12</f>
            </numRef>
          </cat>
          <val>
            <numRef>
              <f>'Executive Dashboard'!$B$12:$M$12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Dashboard'!$B$12:$M$12</f>
            </numRef>
          </cat>
          <val>
            <numRef>
              <f>'Executive Dashboard'!$B$13:$M$13</f>
            </numRef>
          </val>
        </ser>
        <dLbls>
          <showVal val="0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000" b="1"/>
                  <a:t>Month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>None</a:t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000" b="1"/>
                  <a:t>Revenue ($)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>None</a:t>
            </a:r>
          </a:p>
        </txPr>
        <crossAx val="10"/>
      </valAx>
    </plotArea>
    <legend>
      <legendPos val="r"/>
      <overlay val="0"/>
      <txPr>
        <a:bodyPr xmlns:a="http://schemas.openxmlformats.org/drawingml/2006/main"/>
        <a:p xmlns:a="http://schemas.openxmlformats.org/drawingml/2006/main">
          <a:pPr>
            <a:defRPr sz="1000" b="0"/>
          </a:pPr>
          <a:r>
            <a:t>None</a:t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1100" b="1"/>
              <a:t>Revenue by Stream — All Scenarios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'Revenue by Stream'!B4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 by Stream'!$A$5:$A$9</f>
            </numRef>
          </cat>
          <val>
            <numRef>
              <f>'Revenue by Stream'!$B$5:$B$9</f>
            </numRef>
          </val>
        </ser>
        <ser>
          <idx val="1"/>
          <order val="1"/>
          <tx>
            <strRef>
              <f>'Revenue by Stream'!C4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 by Stream'!$A$5:$A$9</f>
            </numRef>
          </cat>
          <val>
            <numRef>
              <f>'Revenue by Stream'!$C$5:$C$9</f>
            </numRef>
          </val>
        </ser>
        <ser>
          <idx val="2"/>
          <order val="2"/>
          <tx>
            <strRef>
              <f>'Revenue by Stream'!D4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 by Stream'!$A$5:$A$9</f>
            </numRef>
          </cat>
          <val>
            <numRef>
              <f>'Revenue by Stream'!$D$5:$D$9</f>
            </numRef>
          </val>
        </ser>
        <dLbls>
          <showVal val="0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>None</a:t>
            </a: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000" b="1"/>
                  <a:t>Annual Revenue ($)</a:t>
                </a:r>
              </a:p>
            </rich>
          </tx>
          <overlay val="0"/>
        </title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 b="0"/>
            </a:pPr>
            <a:r>
              <a:t>None</a:t>
            </a:r>
          </a:p>
        </txPr>
        <crossAx val="10"/>
      </valAx>
    </plotArea>
    <legend>
      <legendPos val="r"/>
      <overlay val="0"/>
      <txPr>
        <a:bodyPr xmlns:a="http://schemas.openxmlformats.org/drawingml/2006/main"/>
        <a:p xmlns:a="http://schemas.openxmlformats.org/drawingml/2006/main">
          <a:pPr>
            <a:defRPr sz="1000" b="0"/>
          </a:pPr>
          <a:r>
            <a:t>None</a:t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../charts/chart1.xml" Id="rId1"/><Relationship Type="http://schemas.openxmlformats.org/officeDocument/2006/relationships/chart" Target="..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../charts/chart3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16</row>
      <rowOff>0</rowOff>
    </from>
    <ext cx="50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18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..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..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14" customWidth="1" min="4" max="4"/>
    <col width="26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4" customWidth="1" min="14" max="14"/>
  </cols>
  <sheetData>
    <row r="1" ht="36" customHeight="1">
      <c r="A1" s="1" t="inlineStr">
        <is>
          <t>INSTAGRAM FINANCIAL MODEL — NON-PUNITIVE PARENTING NICHE</t>
        </is>
      </c>
    </row>
    <row r="2" ht="24" customHeight="1">
      <c r="A2" s="2" t="inlineStr">
        <is>
          <t>30,000-Follower Account · Seattle, WA · Prepared April 2026</t>
        </is>
      </c>
    </row>
    <row r="3"/>
    <row r="4">
      <c r="A4" s="3" t="inlineStr">
        <is>
          <t>YEAR 1 REVENUE SCENARIOS</t>
        </is>
      </c>
      <c r="B4" s="32" t="n"/>
      <c r="C4" s="32" t="n"/>
      <c r="D4" s="32" t="n"/>
      <c r="F4" s="3" t="inlineStr">
        <is>
          <t>REVENUE MIX (MODERATE SCENARIO)</t>
        </is>
      </c>
      <c r="G4" s="32" t="n"/>
      <c r="H4" s="32" t="n"/>
      <c r="I4" s="32" t="n"/>
    </row>
    <row r="5">
      <c r="A5" s="5" t="inlineStr">
        <is>
          <t>Scenario</t>
        </is>
      </c>
      <c r="B5" s="6" t="inlineStr">
        <is>
          <t>Annual Revenue</t>
        </is>
      </c>
      <c r="C5" s="6" t="inlineStr">
        <is>
          <t>Monthly Avg</t>
        </is>
      </c>
      <c r="D5" s="7" t="inlineStr">
        <is>
          <t>Per Follower</t>
        </is>
      </c>
      <c r="F5" s="5" t="inlineStr">
        <is>
          <t>Revenue Stream</t>
        </is>
      </c>
      <c r="G5" s="6" t="inlineStr">
        <is>
          <t>% of Total</t>
        </is>
      </c>
      <c r="H5" s="6" t="inlineStr">
        <is>
          <t>Annual $</t>
        </is>
      </c>
      <c r="I5" s="7" t="inlineStr">
        <is>
          <t>Monthly Avg</t>
        </is>
      </c>
    </row>
    <row r="6">
      <c r="A6" s="8" t="inlineStr">
        <is>
          <t>Conservative</t>
        </is>
      </c>
      <c r="B6" s="9" t="n">
        <v>48000</v>
      </c>
      <c r="C6" s="9">
        <f>B6/12</f>
        <v/>
      </c>
      <c r="D6" s="10">
        <f>B6/30000</f>
        <v/>
      </c>
      <c r="F6" s="11" t="inlineStr">
        <is>
          <t>Brand Partnerships</t>
        </is>
      </c>
      <c r="G6" s="12" t="n">
        <v>0.3</v>
      </c>
      <c r="H6" s="9">
        <f>G6*$B$7</f>
        <v/>
      </c>
      <c r="I6" s="13">
        <f>H6/12</f>
        <v/>
      </c>
    </row>
    <row r="7">
      <c r="A7" s="14" t="inlineStr">
        <is>
          <t>Moderate</t>
        </is>
      </c>
      <c r="B7" s="15" t="n">
        <v>72000</v>
      </c>
      <c r="C7" s="15">
        <f>B7/12</f>
        <v/>
      </c>
      <c r="D7" s="16">
        <f>B7/30000</f>
        <v/>
      </c>
      <c r="F7" s="17" t="inlineStr">
        <is>
          <t>Digital Products/Courses</t>
        </is>
      </c>
      <c r="G7" s="18" t="n">
        <v>0.4</v>
      </c>
      <c r="H7" s="15">
        <f>G7*$B$7</f>
        <v/>
      </c>
      <c r="I7" s="19">
        <f>H7/12</f>
        <v/>
      </c>
    </row>
    <row r="8">
      <c r="A8" s="20" t="inlineStr">
        <is>
          <t>Optimistic</t>
        </is>
      </c>
      <c r="B8" s="21" t="n">
        <v>96000</v>
      </c>
      <c r="C8" s="21">
        <f>B8/12</f>
        <v/>
      </c>
      <c r="D8" s="22">
        <f>B8/30000</f>
        <v/>
      </c>
      <c r="F8" s="11" t="inlineStr">
        <is>
          <t>Membership/Community</t>
        </is>
      </c>
      <c r="G8" s="12" t="n">
        <v>0.2</v>
      </c>
      <c r="H8" s="9">
        <f>G8*$B$7</f>
        <v/>
      </c>
      <c r="I8" s="13">
        <f>H8/12</f>
        <v/>
      </c>
    </row>
    <row r="9">
      <c r="F9" s="23" t="inlineStr">
        <is>
          <t>Affiliate + Misc</t>
        </is>
      </c>
      <c r="G9" s="24" t="n">
        <v>0.1</v>
      </c>
      <c r="H9" s="25">
        <f>G9*$B$7</f>
        <v/>
      </c>
      <c r="I9" s="26">
        <f>H9/12</f>
        <v/>
      </c>
    </row>
    <row r="10"/>
    <row r="11">
      <c r="A11" s="3" t="inlineStr">
        <is>
          <t>MONTHLY REVENUE TREND — MODERATE SCENARIO</t>
        </is>
      </c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</row>
    <row r="12">
      <c r="A12" s="5" t="inlineStr">
        <is>
          <t>Metric</t>
        </is>
      </c>
      <c r="B12" s="6" t="inlineStr">
        <is>
          <t>Month 1</t>
        </is>
      </c>
      <c r="C12" s="6" t="inlineStr">
        <is>
          <t>Month 2</t>
        </is>
      </c>
      <c r="D12" s="6" t="inlineStr">
        <is>
          <t>Month 3</t>
        </is>
      </c>
      <c r="E12" s="6" t="inlineStr">
        <is>
          <t>Month 4</t>
        </is>
      </c>
      <c r="F12" s="6" t="inlineStr">
        <is>
          <t>Month 5</t>
        </is>
      </c>
      <c r="G12" s="6" t="inlineStr">
        <is>
          <t>Month 6</t>
        </is>
      </c>
      <c r="H12" s="6" t="inlineStr">
        <is>
          <t>Month 7</t>
        </is>
      </c>
      <c r="I12" s="6" t="inlineStr">
        <is>
          <t>Month 8</t>
        </is>
      </c>
      <c r="J12" s="6" t="inlineStr">
        <is>
          <t>Month 9</t>
        </is>
      </c>
      <c r="K12" s="6" t="inlineStr">
        <is>
          <t>Month 10</t>
        </is>
      </c>
      <c r="L12" s="6" t="inlineStr">
        <is>
          <t>Month 11</t>
        </is>
      </c>
      <c r="M12" s="6" t="inlineStr">
        <is>
          <t>Month 12</t>
        </is>
      </c>
      <c r="N12" s="7" t="inlineStr">
        <is>
          <t>TOTAL</t>
        </is>
      </c>
    </row>
    <row r="13">
      <c r="A13" s="27" t="inlineStr">
        <is>
          <t>Revenue ($)</t>
        </is>
      </c>
      <c r="B13" s="9" t="n">
        <v>750</v>
      </c>
      <c r="C13" s="9" t="n">
        <v>1100</v>
      </c>
      <c r="D13" s="9" t="n">
        <v>1800</v>
      </c>
      <c r="E13" s="9" t="n">
        <v>5500</v>
      </c>
      <c r="F13" s="9" t="n">
        <v>4000</v>
      </c>
      <c r="G13" s="9" t="n">
        <v>5200</v>
      </c>
      <c r="H13" s="9" t="n">
        <v>10500</v>
      </c>
      <c r="I13" s="9" t="n">
        <v>6300</v>
      </c>
      <c r="J13" s="9" t="n">
        <v>7100</v>
      </c>
      <c r="K13" s="9" t="n">
        <v>14500</v>
      </c>
      <c r="L13" s="9" t="n">
        <v>8500</v>
      </c>
      <c r="M13" s="9" t="n">
        <v>9200</v>
      </c>
      <c r="N13" s="28">
        <f>SUM(B13:M13)</f>
        <v/>
      </c>
    </row>
    <row r="14">
      <c r="A14" s="29" t="inlineStr">
        <is>
          <t>Cumulative ($)</t>
        </is>
      </c>
      <c r="B14" s="30">
        <f>B13</f>
        <v/>
      </c>
      <c r="C14" s="30">
        <f>B14+C13</f>
        <v/>
      </c>
      <c r="D14" s="30">
        <f>C14+D13</f>
        <v/>
      </c>
      <c r="E14" s="30">
        <f>D14+E13</f>
        <v/>
      </c>
      <c r="F14" s="30">
        <f>E14+F13</f>
        <v/>
      </c>
      <c r="G14" s="30">
        <f>F14+G13</f>
        <v/>
      </c>
      <c r="H14" s="30">
        <f>G14+H13</f>
        <v/>
      </c>
      <c r="I14" s="30">
        <f>H14+I13</f>
        <v/>
      </c>
      <c r="J14" s="30">
        <f>I14+J13</f>
        <v/>
      </c>
      <c r="K14" s="30">
        <f>J14+K13</f>
        <v/>
      </c>
      <c r="L14" s="30">
        <f>K14+L13</f>
        <v/>
      </c>
      <c r="M14" s="30">
        <f>L14+M13</f>
        <v/>
      </c>
      <c r="N14" s="31">
        <f>M14</f>
        <v/>
      </c>
    </row>
    <row r="15"/>
    <row r="16"/>
    <row r="17">
      <c r="A17" s="3" t="inlineStr">
        <is>
          <t>KEY ASSUMPTIONS</t>
        </is>
      </c>
      <c r="B17" s="32" t="n"/>
      <c r="C17" s="32" t="n"/>
      <c r="D17" s="32" t="n"/>
      <c r="E17" s="32" t="n"/>
      <c r="F17" s="32" t="n"/>
      <c r="H17" s="3" t="inlineStr">
        <is>
          <t>REVENUE SCENARIOS COMPARISON</t>
        </is>
      </c>
      <c r="I17" s="32" t="n"/>
      <c r="J17" s="32" t="n"/>
      <c r="K17" s="32" t="n"/>
      <c r="L17" s="32" t="n"/>
      <c r="M17" s="32" t="n"/>
      <c r="N17" s="32" t="n"/>
    </row>
    <row r="18">
      <c r="A18" s="5" t="inlineStr">
        <is>
          <t>Assumption</t>
        </is>
      </c>
      <c r="B18" s="7" t="inlineStr">
        <is>
          <t>Value</t>
        </is>
      </c>
      <c r="H18" s="5" t="inlineStr">
        <is>
          <t>Stream</t>
        </is>
      </c>
      <c r="I18" s="6" t="inlineStr">
        <is>
          <t>Conservative</t>
        </is>
      </c>
      <c r="J18" s="6" t="inlineStr">
        <is>
          <t>Moderate</t>
        </is>
      </c>
      <c r="K18" s="7" t="inlineStr">
        <is>
          <t>Optimistic</t>
        </is>
      </c>
    </row>
    <row r="19">
      <c r="A19" s="33" t="inlineStr">
        <is>
          <t>Starting Followers</t>
        </is>
      </c>
      <c r="B19" s="34" t="inlineStr">
        <is>
          <t>30,000</t>
        </is>
      </c>
      <c r="H19" s="27" t="inlineStr">
        <is>
          <t>Brand Partnerships</t>
        </is>
      </c>
      <c r="I19" s="9" t="n">
        <v>19800</v>
      </c>
      <c r="J19" s="9" t="n">
        <v>30000</v>
      </c>
      <c r="K19" s="13" t="n">
        <v>42000</v>
      </c>
    </row>
    <row r="20">
      <c r="A20" s="35" t="inlineStr">
        <is>
          <t>Monthly Follower Growth</t>
        </is>
      </c>
      <c r="B20" s="36" t="inlineStr">
        <is>
          <t>5%</t>
        </is>
      </c>
      <c r="H20" s="35" t="inlineStr">
        <is>
          <t>Courses &amp; Digital</t>
        </is>
      </c>
      <c r="I20" s="15" t="n">
        <v>16250</v>
      </c>
      <c r="J20" s="15" t="n">
        <v>28800</v>
      </c>
      <c r="K20" s="19" t="n">
        <v>38400</v>
      </c>
    </row>
    <row r="21">
      <c r="A21" s="33" t="inlineStr">
        <is>
          <t>Email List Growth</t>
        </is>
      </c>
      <c r="B21" s="34" t="inlineStr">
        <is>
          <t>500–800/month</t>
        </is>
      </c>
      <c r="H21" s="27" t="inlineStr">
        <is>
          <t>Membership</t>
        </is>
      </c>
      <c r="I21" s="9" t="n">
        <v>5365</v>
      </c>
      <c r="J21" s="9" t="n">
        <v>10800</v>
      </c>
      <c r="K21" s="13" t="n">
        <v>16200</v>
      </c>
    </row>
    <row r="22">
      <c r="A22" s="35" t="inlineStr">
        <is>
          <t>Engagement Rate</t>
        </is>
      </c>
      <c r="B22" s="36" t="inlineStr">
        <is>
          <t>5%+</t>
        </is>
      </c>
      <c r="H22" s="35" t="inlineStr">
        <is>
          <t>Affiliate</t>
        </is>
      </c>
      <c r="I22" s="15" t="n">
        <v>2250</v>
      </c>
      <c r="J22" s="15" t="n">
        <v>3600</v>
      </c>
      <c r="K22" s="19" t="n">
        <v>5400</v>
      </c>
    </row>
    <row r="23">
      <c r="A23" s="33" t="inlineStr">
        <is>
          <t>Parenting Niche CPM Premium</t>
        </is>
      </c>
      <c r="B23" s="34" t="inlineStr">
        <is>
          <t>+30–50% over lifestyle</t>
        </is>
      </c>
      <c r="H23" s="27" t="inlineStr">
        <is>
          <t>Coaching</t>
        </is>
      </c>
      <c r="I23" s="9" t="n">
        <v>4600</v>
      </c>
      <c r="J23" s="9" t="n">
        <v>7200</v>
      </c>
      <c r="K23" s="13" t="n">
        <v>9600</v>
      </c>
    </row>
    <row r="24">
      <c r="A24" s="35" t="inlineStr">
        <is>
          <t>Course Completion Rate</t>
        </is>
      </c>
      <c r="B24" s="36" t="inlineStr">
        <is>
          <t>73% (industry benchmark)</t>
        </is>
      </c>
      <c r="H24" s="37" t="inlineStr">
        <is>
          <t>TOTAL</t>
        </is>
      </c>
      <c r="I24" s="38">
        <f>SUM(I19:I23)</f>
        <v/>
      </c>
      <c r="J24" s="38">
        <f>SUM(J19:J23)</f>
        <v/>
      </c>
      <c r="K24" s="39">
        <f>SUM(K19:K23)</f>
        <v/>
      </c>
    </row>
    <row r="25">
      <c r="A25" s="40" t="inlineStr">
        <is>
          <t>Membership Retention (6-mo)</t>
        </is>
      </c>
      <c r="B25" s="41" t="inlineStr">
        <is>
          <t>50%</t>
        </is>
      </c>
    </row>
  </sheetData>
  <mergeCells count="7">
    <mergeCell ref="A4:D4"/>
    <mergeCell ref="F4:I4"/>
    <mergeCell ref="A2:N2"/>
    <mergeCell ref="H17:N17"/>
    <mergeCell ref="A17:F17"/>
    <mergeCell ref="A11:N11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1" customWidth="1" min="3" max="3"/>
    <col width="13" customWidth="1" min="4" max="4"/>
    <col width="14" customWidth="1" min="5" max="5"/>
    <col width="13" customWidth="1" min="6" max="6"/>
    <col width="11" customWidth="1" min="7" max="7"/>
    <col width="11" customWidth="1" min="8" max="8"/>
    <col width="15" customWidth="1" min="9" max="9"/>
    <col width="11" customWidth="1" min="10" max="10"/>
    <col width="13" customWidth="1" min="11" max="11"/>
    <col width="16" customWidth="1" min="12" max="12"/>
    <col width="15" customWidth="1" min="13" max="13"/>
  </cols>
  <sheetData>
    <row r="1" ht="32" customHeight="1">
      <c r="A1" s="42" t="inlineStr">
        <is>
          <t>MONTHLY CASHFLOW PROJECTION — CONSERVATIVE SCENARIO</t>
        </is>
      </c>
    </row>
    <row r="2" ht="22" customHeight="1">
      <c r="A2" s="43" t="inlineStr">
        <is>
          <t>Year 1 Target: ~$48,000 · Follower Growth: 3%/month · 30K Starting Followers</t>
        </is>
      </c>
    </row>
    <row r="3"/>
    <row r="4" ht="30" customHeight="1">
      <c r="A4" s="44" t="inlineStr">
        <is>
          <t>Month</t>
        </is>
      </c>
      <c r="B4" s="45" t="inlineStr">
        <is>
          <t>Followers</t>
        </is>
      </c>
      <c r="C4" s="45" t="inlineStr">
        <is>
          <t>Email List</t>
        </is>
      </c>
      <c r="D4" s="45" t="inlineStr">
        <is>
          <t>Brand Deals</t>
        </is>
      </c>
      <c r="E4" s="45" t="inlineStr">
        <is>
          <t>Course Revenue</t>
        </is>
      </c>
      <c r="F4" s="45" t="inlineStr">
        <is>
          <t>Membership</t>
        </is>
      </c>
      <c r="G4" s="45" t="inlineStr">
        <is>
          <t>Affiliate</t>
        </is>
      </c>
      <c r="H4" s="45" t="inlineStr">
        <is>
          <t>Coaching</t>
        </is>
      </c>
      <c r="I4" s="46" t="inlineStr">
        <is>
          <t>TOTAL Revenue</t>
        </is>
      </c>
      <c r="J4" s="45" t="inlineStr">
        <is>
          <t>Expenses</t>
        </is>
      </c>
      <c r="K4" s="46" t="inlineStr">
        <is>
          <t>NET Income</t>
        </is>
      </c>
      <c r="L4" s="45" t="inlineStr">
        <is>
          <t>Cumulative Revenue</t>
        </is>
      </c>
      <c r="M4" s="47" t="inlineStr">
        <is>
          <t>Cumulative Net</t>
        </is>
      </c>
    </row>
    <row r="5">
      <c r="A5" s="8" t="n">
        <v>1</v>
      </c>
      <c r="B5" s="48" t="n">
        <v>30000</v>
      </c>
      <c r="C5" s="48" t="n">
        <v>200</v>
      </c>
      <c r="D5" s="9" t="n">
        <v>400</v>
      </c>
      <c r="E5" s="9" t="n">
        <v>0</v>
      </c>
      <c r="F5" s="9" t="n">
        <v>0</v>
      </c>
      <c r="G5" s="9" t="n">
        <v>50</v>
      </c>
      <c r="H5" s="9" t="n">
        <v>0</v>
      </c>
      <c r="I5" s="49">
        <f>SUM(D5:H5)</f>
        <v/>
      </c>
      <c r="J5" s="9" t="n">
        <v>150</v>
      </c>
      <c r="K5" s="49">
        <f>I5-J5</f>
        <v/>
      </c>
      <c r="L5" s="9">
        <f>I5</f>
        <v/>
      </c>
      <c r="M5" s="13">
        <f>K5</f>
        <v/>
      </c>
    </row>
    <row r="6">
      <c r="A6" s="14" t="n">
        <v>2</v>
      </c>
      <c r="B6" s="50" t="n">
        <v>30900</v>
      </c>
      <c r="C6" s="50" t="n">
        <v>600</v>
      </c>
      <c r="D6" s="15" t="n">
        <v>600</v>
      </c>
      <c r="E6" s="15" t="n">
        <v>0</v>
      </c>
      <c r="F6" s="15" t="n">
        <v>0</v>
      </c>
      <c r="G6" s="15" t="n">
        <v>75</v>
      </c>
      <c r="H6" s="15" t="n">
        <v>0</v>
      </c>
      <c r="I6" s="49">
        <f>SUM(D6:H6)</f>
        <v/>
      </c>
      <c r="J6" s="15" t="n">
        <v>175</v>
      </c>
      <c r="K6" s="49">
        <f>I6-J6</f>
        <v/>
      </c>
      <c r="L6" s="15">
        <f>L5+I6</f>
        <v/>
      </c>
      <c r="M6" s="19">
        <f>M5+K6</f>
        <v/>
      </c>
    </row>
    <row r="7">
      <c r="A7" s="8" t="n">
        <v>3</v>
      </c>
      <c r="B7" s="48" t="n">
        <v>31827</v>
      </c>
      <c r="C7" s="48" t="n">
        <v>1100</v>
      </c>
      <c r="D7" s="9" t="n">
        <v>800</v>
      </c>
      <c r="E7" s="9" t="n">
        <v>0</v>
      </c>
      <c r="F7" s="9" t="n">
        <v>0</v>
      </c>
      <c r="G7" s="9" t="n">
        <v>100</v>
      </c>
      <c r="H7" s="9" t="n">
        <v>300</v>
      </c>
      <c r="I7" s="49">
        <f>SUM(D7:H7)</f>
        <v/>
      </c>
      <c r="J7" s="9" t="n">
        <v>200</v>
      </c>
      <c r="K7" s="49">
        <f>I7-J7</f>
        <v/>
      </c>
      <c r="L7" s="9">
        <f>L6+I7</f>
        <v/>
      </c>
      <c r="M7" s="13">
        <f>M6+K7</f>
        <v/>
      </c>
    </row>
    <row r="8">
      <c r="A8" s="14" t="n">
        <v>4</v>
      </c>
      <c r="B8" s="50" t="n">
        <v>32782</v>
      </c>
      <c r="C8" s="50" t="n">
        <v>1700</v>
      </c>
      <c r="D8" s="15" t="n">
        <v>1000</v>
      </c>
      <c r="E8" s="15" t="n">
        <v>2500</v>
      </c>
      <c r="F8" s="15" t="n">
        <v>0</v>
      </c>
      <c r="G8" s="15" t="n">
        <v>125</v>
      </c>
      <c r="H8" s="15" t="n">
        <v>300</v>
      </c>
      <c r="I8" s="49">
        <f>SUM(D8:H8)</f>
        <v/>
      </c>
      <c r="J8" s="15" t="n">
        <v>350</v>
      </c>
      <c r="K8" s="49">
        <f>I8-J8</f>
        <v/>
      </c>
      <c r="L8" s="15">
        <f>L7+I8</f>
        <v/>
      </c>
      <c r="M8" s="19">
        <f>M7+K8</f>
        <v/>
      </c>
    </row>
    <row r="9">
      <c r="A9" s="8" t="n">
        <v>5</v>
      </c>
      <c r="B9" s="48" t="n">
        <v>33765</v>
      </c>
      <c r="C9" s="48" t="n">
        <v>2400</v>
      </c>
      <c r="D9" s="9" t="n">
        <v>1200</v>
      </c>
      <c r="E9" s="9" t="n">
        <v>500</v>
      </c>
      <c r="F9" s="9" t="n">
        <v>380</v>
      </c>
      <c r="G9" s="9" t="n">
        <v>150</v>
      </c>
      <c r="H9" s="9" t="n">
        <v>450</v>
      </c>
      <c r="I9" s="49">
        <f>SUM(D9:H9)</f>
        <v/>
      </c>
      <c r="J9" s="9" t="n">
        <v>300</v>
      </c>
      <c r="K9" s="49">
        <f>I9-J9</f>
        <v/>
      </c>
      <c r="L9" s="9">
        <f>L8+I9</f>
        <v/>
      </c>
      <c r="M9" s="13">
        <f>M8+K9</f>
        <v/>
      </c>
    </row>
    <row r="10">
      <c r="A10" s="14" t="n">
        <v>6</v>
      </c>
      <c r="B10" s="50" t="n">
        <v>34778</v>
      </c>
      <c r="C10" s="50" t="n">
        <v>3200</v>
      </c>
      <c r="D10" s="15" t="n">
        <v>1500</v>
      </c>
      <c r="E10" s="15" t="n">
        <v>750</v>
      </c>
      <c r="F10" s="15" t="n">
        <v>570</v>
      </c>
      <c r="G10" s="15" t="n">
        <v>175</v>
      </c>
      <c r="H10" s="15" t="n">
        <v>450</v>
      </c>
      <c r="I10" s="49">
        <f>SUM(D10:H10)</f>
        <v/>
      </c>
      <c r="J10" s="15" t="n">
        <v>325</v>
      </c>
      <c r="K10" s="49">
        <f>I10-J10</f>
        <v/>
      </c>
      <c r="L10" s="15">
        <f>L9+I10</f>
        <v/>
      </c>
      <c r="M10" s="19">
        <f>M9+K10</f>
        <v/>
      </c>
    </row>
    <row r="11">
      <c r="A11" s="8" t="n">
        <v>7</v>
      </c>
      <c r="B11" s="48" t="n">
        <v>35821</v>
      </c>
      <c r="C11" s="48" t="n">
        <v>4000</v>
      </c>
      <c r="D11" s="9" t="n">
        <v>1800</v>
      </c>
      <c r="E11" s="9" t="n">
        <v>4000</v>
      </c>
      <c r="F11" s="9" t="n">
        <v>665</v>
      </c>
      <c r="G11" s="9" t="n">
        <v>200</v>
      </c>
      <c r="H11" s="9" t="n">
        <v>600</v>
      </c>
      <c r="I11" s="49">
        <f>SUM(D11:H11)</f>
        <v/>
      </c>
      <c r="J11" s="9" t="n">
        <v>400</v>
      </c>
      <c r="K11" s="49">
        <f>I11-J11</f>
        <v/>
      </c>
      <c r="L11" s="9">
        <f>L10+I11</f>
        <v/>
      </c>
      <c r="M11" s="13">
        <f>M10+K11</f>
        <v/>
      </c>
    </row>
    <row r="12">
      <c r="A12" s="14" t="n">
        <v>8</v>
      </c>
      <c r="B12" s="50" t="n">
        <v>36896</v>
      </c>
      <c r="C12" s="50" t="n">
        <v>4800</v>
      </c>
      <c r="D12" s="15" t="n">
        <v>2000</v>
      </c>
      <c r="E12" s="15" t="n">
        <v>600</v>
      </c>
      <c r="F12" s="15" t="n">
        <v>760</v>
      </c>
      <c r="G12" s="15" t="n">
        <v>225</v>
      </c>
      <c r="H12" s="15" t="n">
        <v>600</v>
      </c>
      <c r="I12" s="49">
        <f>SUM(D12:H12)</f>
        <v/>
      </c>
      <c r="J12" s="15" t="n">
        <v>375</v>
      </c>
      <c r="K12" s="49">
        <f>I12-J12</f>
        <v/>
      </c>
      <c r="L12" s="15">
        <f>L11+I12</f>
        <v/>
      </c>
      <c r="M12" s="19">
        <f>M11+K12</f>
        <v/>
      </c>
    </row>
    <row r="13">
      <c r="A13" s="8" t="n">
        <v>9</v>
      </c>
      <c r="B13" s="48" t="n">
        <v>38003</v>
      </c>
      <c r="C13" s="48" t="n">
        <v>5600</v>
      </c>
      <c r="D13" s="9" t="n">
        <v>2200</v>
      </c>
      <c r="E13" s="9" t="n">
        <v>800</v>
      </c>
      <c r="F13" s="9" t="n">
        <v>855</v>
      </c>
      <c r="G13" s="9" t="n">
        <v>250</v>
      </c>
      <c r="H13" s="9" t="n">
        <v>600</v>
      </c>
      <c r="I13" s="49">
        <f>SUM(D13:H13)</f>
        <v/>
      </c>
      <c r="J13" s="9" t="n">
        <v>400</v>
      </c>
      <c r="K13" s="49">
        <f>I13-J13</f>
        <v/>
      </c>
      <c r="L13" s="9">
        <f>L12+I13</f>
        <v/>
      </c>
      <c r="M13" s="13">
        <f>M12+K13</f>
        <v/>
      </c>
    </row>
    <row r="14">
      <c r="A14" s="14" t="n">
        <v>10</v>
      </c>
      <c r="B14" s="50" t="n">
        <v>39143</v>
      </c>
      <c r="C14" s="50" t="n">
        <v>6500</v>
      </c>
      <c r="D14" s="15" t="n">
        <v>2500</v>
      </c>
      <c r="E14" s="15" t="n">
        <v>5500</v>
      </c>
      <c r="F14" s="15" t="n">
        <v>950</v>
      </c>
      <c r="G14" s="15" t="n">
        <v>275</v>
      </c>
      <c r="H14" s="15" t="n">
        <v>750</v>
      </c>
      <c r="I14" s="49">
        <f>SUM(D14:H14)</f>
        <v/>
      </c>
      <c r="J14" s="15" t="n">
        <v>450</v>
      </c>
      <c r="K14" s="49">
        <f>I14-J14</f>
        <v/>
      </c>
      <c r="L14" s="15">
        <f>L13+I14</f>
        <v/>
      </c>
      <c r="M14" s="19">
        <f>M13+K14</f>
        <v/>
      </c>
    </row>
    <row r="15">
      <c r="A15" s="8" t="n">
        <v>11</v>
      </c>
      <c r="B15" s="48" t="n">
        <v>40317</v>
      </c>
      <c r="C15" s="48" t="n">
        <v>7400</v>
      </c>
      <c r="D15" s="9" t="n">
        <v>2800</v>
      </c>
      <c r="E15" s="9" t="n">
        <v>700</v>
      </c>
      <c r="F15" s="9" t="n">
        <v>1045</v>
      </c>
      <c r="G15" s="9" t="n">
        <v>300</v>
      </c>
      <c r="H15" s="9" t="n">
        <v>750</v>
      </c>
      <c r="I15" s="49">
        <f>SUM(D15:H15)</f>
        <v/>
      </c>
      <c r="J15" s="9" t="n">
        <v>425</v>
      </c>
      <c r="K15" s="49">
        <f>I15-J15</f>
        <v/>
      </c>
      <c r="L15" s="9">
        <f>L14+I15</f>
        <v/>
      </c>
      <c r="M15" s="13">
        <f>M14+K15</f>
        <v/>
      </c>
    </row>
    <row r="16">
      <c r="A16" s="14" t="n">
        <v>12</v>
      </c>
      <c r="B16" s="50" t="n">
        <v>41527</v>
      </c>
      <c r="C16" s="50" t="n">
        <v>8400</v>
      </c>
      <c r="D16" s="15" t="n">
        <v>3000</v>
      </c>
      <c r="E16" s="15" t="n">
        <v>900</v>
      </c>
      <c r="F16" s="15" t="n">
        <v>1140</v>
      </c>
      <c r="G16" s="15" t="n">
        <v>325</v>
      </c>
      <c r="H16" s="15" t="n">
        <v>750</v>
      </c>
      <c r="I16" s="49">
        <f>SUM(D16:H16)</f>
        <v/>
      </c>
      <c r="J16" s="15" t="n">
        <v>450</v>
      </c>
      <c r="K16" s="49">
        <f>I16-J16</f>
        <v/>
      </c>
      <c r="L16" s="15">
        <f>L15+I16</f>
        <v/>
      </c>
      <c r="M16" s="19">
        <f>M15+K16</f>
        <v/>
      </c>
    </row>
    <row r="17">
      <c r="A17" s="51" t="inlineStr">
        <is>
          <t>TOTALS</t>
        </is>
      </c>
      <c r="B17" s="52">
        <f>B16</f>
        <v/>
      </c>
      <c r="C17" s="52">
        <f>C16</f>
        <v/>
      </c>
      <c r="D17" s="38">
        <f>SUM(D5:D16)</f>
        <v/>
      </c>
      <c r="E17" s="38">
        <f>SUM(E5:E16)</f>
        <v/>
      </c>
      <c r="F17" s="38">
        <f>SUM(F5:F16)</f>
        <v/>
      </c>
      <c r="G17" s="38">
        <f>SUM(G5:G16)</f>
        <v/>
      </c>
      <c r="H17" s="38">
        <f>SUM(H5:H16)</f>
        <v/>
      </c>
      <c r="I17" s="53">
        <f>SUM(I5:I16)</f>
        <v/>
      </c>
      <c r="J17" s="38">
        <f>SUM(J5:J16)</f>
        <v/>
      </c>
      <c r="K17" s="53">
        <f>SUM(K5:K16)</f>
        <v/>
      </c>
      <c r="L17" s="38">
        <f>L16</f>
        <v/>
      </c>
      <c r="M17" s="39">
        <f>M16</f>
        <v/>
      </c>
    </row>
  </sheetData>
  <mergeCells count="2">
    <mergeCell ref="A1:P1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1" customWidth="1" min="3" max="3"/>
    <col width="13" customWidth="1" min="4" max="4"/>
    <col width="14" customWidth="1" min="5" max="5"/>
    <col width="13" customWidth="1" min="6" max="6"/>
    <col width="11" customWidth="1" min="7" max="7"/>
    <col width="11" customWidth="1" min="8" max="8"/>
    <col width="15" customWidth="1" min="9" max="9"/>
    <col width="11" customWidth="1" min="10" max="10"/>
    <col width="13" customWidth="1" min="11" max="11"/>
    <col width="16" customWidth="1" min="12" max="12"/>
    <col width="15" customWidth="1" min="13" max="13"/>
  </cols>
  <sheetData>
    <row r="1" ht="32" customHeight="1">
      <c r="A1" s="42" t="inlineStr">
        <is>
          <t>MONTHLY CASHFLOW PROJECTION — MODERATE SCENARIO</t>
        </is>
      </c>
    </row>
    <row r="2" ht="22" customHeight="1">
      <c r="A2" s="43" t="inlineStr">
        <is>
          <t>Year 1 Target: ~$72,000 · Follower Growth: 5%/month · 30K Starting Followers</t>
        </is>
      </c>
    </row>
    <row r="3"/>
    <row r="4" ht="30" customHeight="1">
      <c r="A4" s="44" t="inlineStr">
        <is>
          <t>Month</t>
        </is>
      </c>
      <c r="B4" s="45" t="inlineStr">
        <is>
          <t>Followers</t>
        </is>
      </c>
      <c r="C4" s="45" t="inlineStr">
        <is>
          <t>Email List</t>
        </is>
      </c>
      <c r="D4" s="45" t="inlineStr">
        <is>
          <t>Brand Deals</t>
        </is>
      </c>
      <c r="E4" s="45" t="inlineStr">
        <is>
          <t>Course Revenue</t>
        </is>
      </c>
      <c r="F4" s="45" t="inlineStr">
        <is>
          <t>Membership</t>
        </is>
      </c>
      <c r="G4" s="45" t="inlineStr">
        <is>
          <t>Affiliate</t>
        </is>
      </c>
      <c r="H4" s="45" t="inlineStr">
        <is>
          <t>Coaching</t>
        </is>
      </c>
      <c r="I4" s="46" t="inlineStr">
        <is>
          <t>TOTAL Revenue</t>
        </is>
      </c>
      <c r="J4" s="45" t="inlineStr">
        <is>
          <t>Expenses</t>
        </is>
      </c>
      <c r="K4" s="46" t="inlineStr">
        <is>
          <t>NET Income</t>
        </is>
      </c>
      <c r="L4" s="45" t="inlineStr">
        <is>
          <t>Cumulative Revenue</t>
        </is>
      </c>
      <c r="M4" s="47" t="inlineStr">
        <is>
          <t>Cumulative Net</t>
        </is>
      </c>
    </row>
    <row r="5">
      <c r="A5" s="8" t="n">
        <v>1</v>
      </c>
      <c r="B5" s="48" t="n">
        <v>30000</v>
      </c>
      <c r="C5" s="48" t="n">
        <v>300</v>
      </c>
      <c r="D5" s="9" t="n">
        <v>750</v>
      </c>
      <c r="E5" s="9" t="n">
        <v>0</v>
      </c>
      <c r="F5" s="9" t="n">
        <v>0</v>
      </c>
      <c r="G5" s="9" t="n">
        <v>100</v>
      </c>
      <c r="H5" s="9" t="n">
        <v>0</v>
      </c>
      <c r="I5" s="49">
        <f>SUM(D5:H5)</f>
        <v/>
      </c>
      <c r="J5" s="9" t="n">
        <v>200</v>
      </c>
      <c r="K5" s="49">
        <f>I5-J5</f>
        <v/>
      </c>
      <c r="L5" s="9">
        <f>I5</f>
        <v/>
      </c>
      <c r="M5" s="13">
        <f>K5</f>
        <v/>
      </c>
    </row>
    <row r="6">
      <c r="A6" s="14" t="n">
        <v>2</v>
      </c>
      <c r="B6" s="50" t="n">
        <v>31500</v>
      </c>
      <c r="C6" s="50" t="n">
        <v>1000</v>
      </c>
      <c r="D6" s="15" t="n">
        <v>1100</v>
      </c>
      <c r="E6" s="15" t="n">
        <v>0</v>
      </c>
      <c r="F6" s="15" t="n">
        <v>0</v>
      </c>
      <c r="G6" s="15" t="n">
        <v>150</v>
      </c>
      <c r="H6" s="15" t="n">
        <v>0</v>
      </c>
      <c r="I6" s="49">
        <f>SUM(D6:H6)</f>
        <v/>
      </c>
      <c r="J6" s="15" t="n">
        <v>225</v>
      </c>
      <c r="K6" s="49">
        <f>I6-J6</f>
        <v/>
      </c>
      <c r="L6" s="15">
        <f>L5+I6</f>
        <v/>
      </c>
      <c r="M6" s="19">
        <f>M5+K6</f>
        <v/>
      </c>
    </row>
    <row r="7">
      <c r="A7" s="8" t="n">
        <v>3</v>
      </c>
      <c r="B7" s="48" t="n">
        <v>33075</v>
      </c>
      <c r="C7" s="48" t="n">
        <v>1700</v>
      </c>
      <c r="D7" s="9" t="n">
        <v>1500</v>
      </c>
      <c r="E7" s="9" t="n">
        <v>0</v>
      </c>
      <c r="F7" s="9" t="n">
        <v>0</v>
      </c>
      <c r="G7" s="9" t="n">
        <v>200</v>
      </c>
      <c r="H7" s="9" t="n">
        <v>450</v>
      </c>
      <c r="I7" s="49">
        <f>SUM(D7:H7)</f>
        <v/>
      </c>
      <c r="J7" s="9" t="n">
        <v>275</v>
      </c>
      <c r="K7" s="49">
        <f>I7-J7</f>
        <v/>
      </c>
      <c r="L7" s="9">
        <f>L6+I7</f>
        <v/>
      </c>
      <c r="M7" s="13">
        <f>M6+K7</f>
        <v/>
      </c>
    </row>
    <row r="8">
      <c r="A8" s="14" t="n">
        <v>4</v>
      </c>
      <c r="B8" s="50" t="n">
        <v>34729</v>
      </c>
      <c r="C8" s="50" t="n">
        <v>2400</v>
      </c>
      <c r="D8" s="15" t="n">
        <v>1800</v>
      </c>
      <c r="E8" s="15" t="n">
        <v>5900</v>
      </c>
      <c r="F8" s="15" t="n">
        <v>0</v>
      </c>
      <c r="G8" s="15" t="n">
        <v>250</v>
      </c>
      <c r="H8" s="15" t="n">
        <v>450</v>
      </c>
      <c r="I8" s="49">
        <f>SUM(D8:H8)</f>
        <v/>
      </c>
      <c r="J8" s="15" t="n">
        <v>400</v>
      </c>
      <c r="K8" s="49">
        <f>I8-J8</f>
        <v/>
      </c>
      <c r="L8" s="15">
        <f>L7+I8</f>
        <v/>
      </c>
      <c r="M8" s="19">
        <f>M7+K8</f>
        <v/>
      </c>
    </row>
    <row r="9">
      <c r="A9" s="8" t="n">
        <v>5</v>
      </c>
      <c r="B9" s="48" t="n">
        <v>36465</v>
      </c>
      <c r="C9" s="48" t="n">
        <v>3100</v>
      </c>
      <c r="D9" s="9" t="n">
        <v>2200</v>
      </c>
      <c r="E9" s="9" t="n">
        <v>800</v>
      </c>
      <c r="F9" s="9" t="n">
        <v>810</v>
      </c>
      <c r="G9" s="9" t="n">
        <v>300</v>
      </c>
      <c r="H9" s="9" t="n">
        <v>600</v>
      </c>
      <c r="I9" s="49">
        <f>SUM(D9:H9)</f>
        <v/>
      </c>
      <c r="J9" s="9" t="n">
        <v>375</v>
      </c>
      <c r="K9" s="49">
        <f>I9-J9</f>
        <v/>
      </c>
      <c r="L9" s="9">
        <f>L8+I9</f>
        <v/>
      </c>
      <c r="M9" s="13">
        <f>M8+K9</f>
        <v/>
      </c>
    </row>
    <row r="10">
      <c r="A10" s="14" t="n">
        <v>6</v>
      </c>
      <c r="B10" s="50" t="n">
        <v>38288</v>
      </c>
      <c r="C10" s="50" t="n">
        <v>3800</v>
      </c>
      <c r="D10" s="15" t="n">
        <v>2500</v>
      </c>
      <c r="E10" s="15" t="n">
        <v>1200</v>
      </c>
      <c r="F10" s="15" t="n">
        <v>1080</v>
      </c>
      <c r="G10" s="15" t="n">
        <v>350</v>
      </c>
      <c r="H10" s="15" t="n">
        <v>600</v>
      </c>
      <c r="I10" s="49">
        <f>SUM(D10:H10)</f>
        <v/>
      </c>
      <c r="J10" s="15" t="n">
        <v>400</v>
      </c>
      <c r="K10" s="49">
        <f>I10-J10</f>
        <v/>
      </c>
      <c r="L10" s="15">
        <f>L9+I10</f>
        <v/>
      </c>
      <c r="M10" s="19">
        <f>M9+K10</f>
        <v/>
      </c>
    </row>
    <row r="11">
      <c r="A11" s="8" t="n">
        <v>7</v>
      </c>
      <c r="B11" s="48" t="n">
        <v>40203</v>
      </c>
      <c r="C11" s="48" t="n">
        <v>4500</v>
      </c>
      <c r="D11" s="9" t="n">
        <v>3000</v>
      </c>
      <c r="E11" s="9" t="n">
        <v>7800</v>
      </c>
      <c r="F11" s="9" t="n">
        <v>1350</v>
      </c>
      <c r="G11" s="9" t="n">
        <v>400</v>
      </c>
      <c r="H11" s="9" t="n">
        <v>800</v>
      </c>
      <c r="I11" s="49">
        <f>SUM(D11:H11)</f>
        <v/>
      </c>
      <c r="J11" s="9" t="n">
        <v>450</v>
      </c>
      <c r="K11" s="49">
        <f>I11-J11</f>
        <v/>
      </c>
      <c r="L11" s="9">
        <f>L10+I11</f>
        <v/>
      </c>
      <c r="M11" s="13">
        <f>M10+K11</f>
        <v/>
      </c>
    </row>
    <row r="12">
      <c r="A12" s="14" t="n">
        <v>8</v>
      </c>
      <c r="B12" s="50" t="n">
        <v>42213</v>
      </c>
      <c r="C12" s="50" t="n">
        <v>5200</v>
      </c>
      <c r="D12" s="15" t="n">
        <v>3200</v>
      </c>
      <c r="E12" s="15" t="n">
        <v>1000</v>
      </c>
      <c r="F12" s="15" t="n">
        <v>1620</v>
      </c>
      <c r="G12" s="15" t="n">
        <v>450</v>
      </c>
      <c r="H12" s="15" t="n">
        <v>800</v>
      </c>
      <c r="I12" s="49">
        <f>SUM(D12:H12)</f>
        <v/>
      </c>
      <c r="J12" s="15" t="n">
        <v>425</v>
      </c>
      <c r="K12" s="49">
        <f>I12-J12</f>
        <v/>
      </c>
      <c r="L12" s="15">
        <f>L11+I12</f>
        <v/>
      </c>
      <c r="M12" s="19">
        <f>M11+K12</f>
        <v/>
      </c>
    </row>
    <row r="13">
      <c r="A13" s="8" t="n">
        <v>9</v>
      </c>
      <c r="B13" s="48" t="n">
        <v>44324</v>
      </c>
      <c r="C13" s="48" t="n">
        <v>5900</v>
      </c>
      <c r="D13" s="9" t="n">
        <v>3500</v>
      </c>
      <c r="E13" s="9" t="n">
        <v>1400</v>
      </c>
      <c r="F13" s="9" t="n">
        <v>1890</v>
      </c>
      <c r="G13" s="9" t="n">
        <v>500</v>
      </c>
      <c r="H13" s="9" t="n">
        <v>800</v>
      </c>
      <c r="I13" s="49">
        <f>SUM(D13:H13)</f>
        <v/>
      </c>
      <c r="J13" s="9" t="n">
        <v>450</v>
      </c>
      <c r="K13" s="49">
        <f>I13-J13</f>
        <v/>
      </c>
      <c r="L13" s="9">
        <f>L12+I13</f>
        <v/>
      </c>
      <c r="M13" s="13">
        <f>M12+K13</f>
        <v/>
      </c>
    </row>
    <row r="14">
      <c r="A14" s="14" t="n">
        <v>10</v>
      </c>
      <c r="B14" s="50" t="n">
        <v>46540</v>
      </c>
      <c r="C14" s="50" t="n">
        <v>6600</v>
      </c>
      <c r="D14" s="15" t="n">
        <v>4000</v>
      </c>
      <c r="E14" s="15" t="n">
        <v>8500</v>
      </c>
      <c r="F14" s="15" t="n">
        <v>2160</v>
      </c>
      <c r="G14" s="15" t="n">
        <v>550</v>
      </c>
      <c r="H14" s="15" t="n">
        <v>1000</v>
      </c>
      <c r="I14" s="49">
        <f>SUM(D14:H14)</f>
        <v/>
      </c>
      <c r="J14" s="15" t="n">
        <v>500</v>
      </c>
      <c r="K14" s="49">
        <f>I14-J14</f>
        <v/>
      </c>
      <c r="L14" s="15">
        <f>L13+I14</f>
        <v/>
      </c>
      <c r="M14" s="19">
        <f>M13+K14</f>
        <v/>
      </c>
    </row>
    <row r="15">
      <c r="A15" s="8" t="n">
        <v>11</v>
      </c>
      <c r="B15" s="48" t="n">
        <v>48867</v>
      </c>
      <c r="C15" s="48" t="n">
        <v>7300</v>
      </c>
      <c r="D15" s="9" t="n">
        <v>4200</v>
      </c>
      <c r="E15" s="9" t="n">
        <v>1200</v>
      </c>
      <c r="F15" s="9" t="n">
        <v>2430</v>
      </c>
      <c r="G15" s="9" t="n">
        <v>600</v>
      </c>
      <c r="H15" s="9" t="n">
        <v>1000</v>
      </c>
      <c r="I15" s="49">
        <f>SUM(D15:H15)</f>
        <v/>
      </c>
      <c r="J15" s="9" t="n">
        <v>475</v>
      </c>
      <c r="K15" s="49">
        <f>I15-J15</f>
        <v/>
      </c>
      <c r="L15" s="9">
        <f>L14+I15</f>
        <v/>
      </c>
      <c r="M15" s="13">
        <f>M14+K15</f>
        <v/>
      </c>
    </row>
    <row r="16">
      <c r="A16" s="14" t="n">
        <v>12</v>
      </c>
      <c r="B16" s="50" t="n">
        <v>51310</v>
      </c>
      <c r="C16" s="50" t="n">
        <v>8000</v>
      </c>
      <c r="D16" s="15" t="n">
        <v>4500</v>
      </c>
      <c r="E16" s="15" t="n">
        <v>1500</v>
      </c>
      <c r="F16" s="15" t="n">
        <v>2700</v>
      </c>
      <c r="G16" s="15" t="n">
        <v>650</v>
      </c>
      <c r="H16" s="15" t="n">
        <v>1000</v>
      </c>
      <c r="I16" s="49">
        <f>SUM(D16:H16)</f>
        <v/>
      </c>
      <c r="J16" s="15" t="n">
        <v>500</v>
      </c>
      <c r="K16" s="49">
        <f>I16-J16</f>
        <v/>
      </c>
      <c r="L16" s="15">
        <f>L15+I16</f>
        <v/>
      </c>
      <c r="M16" s="19">
        <f>M15+K16</f>
        <v/>
      </c>
    </row>
    <row r="17">
      <c r="A17" s="51" t="inlineStr">
        <is>
          <t>TOTALS</t>
        </is>
      </c>
      <c r="B17" s="52">
        <f>B16</f>
        <v/>
      </c>
      <c r="C17" s="52">
        <f>C16</f>
        <v/>
      </c>
      <c r="D17" s="38">
        <f>SUM(D5:D16)</f>
        <v/>
      </c>
      <c r="E17" s="38">
        <f>SUM(E5:E16)</f>
        <v/>
      </c>
      <c r="F17" s="38">
        <f>SUM(F5:F16)</f>
        <v/>
      </c>
      <c r="G17" s="38">
        <f>SUM(G5:G16)</f>
        <v/>
      </c>
      <c r="H17" s="38">
        <f>SUM(H5:H16)</f>
        <v/>
      </c>
      <c r="I17" s="38">
        <f>SUM(I5:I16)</f>
        <v/>
      </c>
      <c r="J17" s="38">
        <f>SUM(J5:J16)</f>
        <v/>
      </c>
      <c r="K17" s="38">
        <f>SUM(K5:K16)</f>
        <v/>
      </c>
      <c r="L17" s="38">
        <f>L16</f>
        <v/>
      </c>
      <c r="M17" s="39">
        <f>M16</f>
        <v/>
      </c>
    </row>
  </sheetData>
  <mergeCells count="2">
    <mergeCell ref="A1:P1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1" customWidth="1" min="3" max="3"/>
    <col width="13" customWidth="1" min="4" max="4"/>
    <col width="14" customWidth="1" min="5" max="5"/>
    <col width="13" customWidth="1" min="6" max="6"/>
    <col width="11" customWidth="1" min="7" max="7"/>
    <col width="11" customWidth="1" min="8" max="8"/>
    <col width="15" customWidth="1" min="9" max="9"/>
    <col width="11" customWidth="1" min="10" max="10"/>
    <col width="13" customWidth="1" min="11" max="11"/>
    <col width="16" customWidth="1" min="12" max="12"/>
    <col width="15" customWidth="1" min="13" max="13"/>
  </cols>
  <sheetData>
    <row r="1" ht="32" customHeight="1">
      <c r="A1" s="42" t="inlineStr">
        <is>
          <t>MONTHLY CASHFLOW PROJECTION — OPTIMISTIC SCENARIO</t>
        </is>
      </c>
    </row>
    <row r="2" ht="22" customHeight="1">
      <c r="A2" s="43" t="inlineStr">
        <is>
          <t>Year 1 Target: ~$96,000 · Follower Growth: 8%/month · 30K Starting Followers</t>
        </is>
      </c>
    </row>
    <row r="3"/>
    <row r="4" ht="30" customHeight="1">
      <c r="A4" s="44" t="inlineStr">
        <is>
          <t>Month</t>
        </is>
      </c>
      <c r="B4" s="45" t="inlineStr">
        <is>
          <t>Followers</t>
        </is>
      </c>
      <c r="C4" s="45" t="inlineStr">
        <is>
          <t>Email List</t>
        </is>
      </c>
      <c r="D4" s="45" t="inlineStr">
        <is>
          <t>Brand Deals</t>
        </is>
      </c>
      <c r="E4" s="45" t="inlineStr">
        <is>
          <t>Course Revenue</t>
        </is>
      </c>
      <c r="F4" s="45" t="inlineStr">
        <is>
          <t>Membership</t>
        </is>
      </c>
      <c r="G4" s="45" t="inlineStr">
        <is>
          <t>Affiliate</t>
        </is>
      </c>
      <c r="H4" s="45" t="inlineStr">
        <is>
          <t>Coaching</t>
        </is>
      </c>
      <c r="I4" s="46" t="inlineStr">
        <is>
          <t>TOTAL Revenue</t>
        </is>
      </c>
      <c r="J4" s="45" t="inlineStr">
        <is>
          <t>Expenses</t>
        </is>
      </c>
      <c r="K4" s="46" t="inlineStr">
        <is>
          <t>NET Income</t>
        </is>
      </c>
      <c r="L4" s="45" t="inlineStr">
        <is>
          <t>Cumulative Revenue</t>
        </is>
      </c>
      <c r="M4" s="47" t="inlineStr">
        <is>
          <t>Cumulative Net</t>
        </is>
      </c>
    </row>
    <row r="5">
      <c r="A5" s="8" t="n">
        <v>1</v>
      </c>
      <c r="B5" s="48" t="n">
        <v>30000</v>
      </c>
      <c r="C5" s="48" t="n">
        <v>500</v>
      </c>
      <c r="D5" s="9" t="n">
        <v>1000</v>
      </c>
      <c r="E5" s="9" t="n">
        <v>0</v>
      </c>
      <c r="F5" s="9" t="n">
        <v>0</v>
      </c>
      <c r="G5" s="9" t="n">
        <v>150</v>
      </c>
      <c r="H5" s="9" t="n">
        <v>200</v>
      </c>
      <c r="I5" s="49">
        <f>SUM(D5:H5)</f>
        <v/>
      </c>
      <c r="J5" s="9" t="n">
        <v>250</v>
      </c>
      <c r="K5" s="49">
        <f>I5-J5</f>
        <v/>
      </c>
      <c r="L5" s="9">
        <f>I5</f>
        <v/>
      </c>
      <c r="M5" s="13">
        <f>K5</f>
        <v/>
      </c>
    </row>
    <row r="6">
      <c r="A6" s="14" t="n">
        <v>2</v>
      </c>
      <c r="B6" s="50" t="n">
        <v>32400</v>
      </c>
      <c r="C6" s="50" t="n">
        <v>1500</v>
      </c>
      <c r="D6" s="15" t="n">
        <v>1500</v>
      </c>
      <c r="E6" s="15" t="n">
        <v>0</v>
      </c>
      <c r="F6" s="15" t="n">
        <v>0</v>
      </c>
      <c r="G6" s="15" t="n">
        <v>250</v>
      </c>
      <c r="H6" s="15" t="n">
        <v>400</v>
      </c>
      <c r="I6" s="49">
        <f>SUM(D6:H6)</f>
        <v/>
      </c>
      <c r="J6" s="15" t="n">
        <v>300</v>
      </c>
      <c r="K6" s="49">
        <f>I6-J6</f>
        <v/>
      </c>
      <c r="L6" s="15">
        <f>L5+I6</f>
        <v/>
      </c>
      <c r="M6" s="19">
        <f>M5+K6</f>
        <v/>
      </c>
    </row>
    <row r="7">
      <c r="A7" s="8" t="n">
        <v>3</v>
      </c>
      <c r="B7" s="48" t="n">
        <v>34992</v>
      </c>
      <c r="C7" s="48" t="n">
        <v>2500</v>
      </c>
      <c r="D7" s="9" t="n">
        <v>2000</v>
      </c>
      <c r="E7" s="9" t="n">
        <v>0</v>
      </c>
      <c r="F7" s="9" t="n">
        <v>0</v>
      </c>
      <c r="G7" s="9" t="n">
        <v>350</v>
      </c>
      <c r="H7" s="9" t="n">
        <v>600</v>
      </c>
      <c r="I7" s="49">
        <f>SUM(D7:H7)</f>
        <v/>
      </c>
      <c r="J7" s="9" t="n">
        <v>350</v>
      </c>
      <c r="K7" s="49">
        <f>I7-J7</f>
        <v/>
      </c>
      <c r="L7" s="9">
        <f>L6+I7</f>
        <v/>
      </c>
      <c r="M7" s="13">
        <f>M6+K7</f>
        <v/>
      </c>
    </row>
    <row r="8">
      <c r="A8" s="14" t="n">
        <v>4</v>
      </c>
      <c r="B8" s="50" t="n">
        <v>37791</v>
      </c>
      <c r="C8" s="50" t="n">
        <v>3500</v>
      </c>
      <c r="D8" s="15" t="n">
        <v>2500</v>
      </c>
      <c r="E8" s="15" t="n">
        <v>8900</v>
      </c>
      <c r="F8" s="15" t="n">
        <v>0</v>
      </c>
      <c r="G8" s="15" t="n">
        <v>450</v>
      </c>
      <c r="H8" s="15" t="n">
        <v>600</v>
      </c>
      <c r="I8" s="49">
        <f>SUM(D8:H8)</f>
        <v/>
      </c>
      <c r="J8" s="15" t="n">
        <v>500</v>
      </c>
      <c r="K8" s="49">
        <f>I8-J8</f>
        <v/>
      </c>
      <c r="L8" s="15">
        <f>L7+I8</f>
        <v/>
      </c>
      <c r="M8" s="19">
        <f>M7+K8</f>
        <v/>
      </c>
    </row>
    <row r="9">
      <c r="A9" s="8" t="n">
        <v>5</v>
      </c>
      <c r="B9" s="48" t="n">
        <v>40814</v>
      </c>
      <c r="C9" s="48" t="n">
        <v>4500</v>
      </c>
      <c r="D9" s="9" t="n">
        <v>3200</v>
      </c>
      <c r="E9" s="9" t="n">
        <v>1200</v>
      </c>
      <c r="F9" s="9" t="n">
        <v>1110</v>
      </c>
      <c r="G9" s="9" t="n">
        <v>550</v>
      </c>
      <c r="H9" s="9" t="n">
        <v>900</v>
      </c>
      <c r="I9" s="49">
        <f>SUM(D9:H9)</f>
        <v/>
      </c>
      <c r="J9" s="9" t="n">
        <v>475</v>
      </c>
      <c r="K9" s="49">
        <f>I9-J9</f>
        <v/>
      </c>
      <c r="L9" s="9">
        <f>L8+I9</f>
        <v/>
      </c>
      <c r="M9" s="13">
        <f>M8+K9</f>
        <v/>
      </c>
    </row>
    <row r="10">
      <c r="A10" s="14" t="n">
        <v>6</v>
      </c>
      <c r="B10" s="50" t="n">
        <v>44079</v>
      </c>
      <c r="C10" s="50" t="n">
        <v>5500</v>
      </c>
      <c r="D10" s="15" t="n">
        <v>3800</v>
      </c>
      <c r="E10" s="15" t="n">
        <v>1800</v>
      </c>
      <c r="F10" s="15" t="n">
        <v>1665</v>
      </c>
      <c r="G10" s="15" t="n">
        <v>650</v>
      </c>
      <c r="H10" s="15" t="n">
        <v>900</v>
      </c>
      <c r="I10" s="49">
        <f>SUM(D10:H10)</f>
        <v/>
      </c>
      <c r="J10" s="15" t="n">
        <v>500</v>
      </c>
      <c r="K10" s="49">
        <f>I10-J10</f>
        <v/>
      </c>
      <c r="L10" s="15">
        <f>L9+I10</f>
        <v/>
      </c>
      <c r="M10" s="19">
        <f>M9+K10</f>
        <v/>
      </c>
    </row>
    <row r="11">
      <c r="A11" s="8" t="n">
        <v>7</v>
      </c>
      <c r="B11" s="48" t="n">
        <v>47606</v>
      </c>
      <c r="C11" s="48" t="n">
        <v>6500</v>
      </c>
      <c r="D11" s="9" t="n">
        <v>4500</v>
      </c>
      <c r="E11" s="9" t="n">
        <v>11500</v>
      </c>
      <c r="F11" s="9" t="n">
        <v>2220</v>
      </c>
      <c r="G11" s="9" t="n">
        <v>750</v>
      </c>
      <c r="H11" s="9" t="n">
        <v>1200</v>
      </c>
      <c r="I11" s="49">
        <f>SUM(D11:H11)</f>
        <v/>
      </c>
      <c r="J11" s="9" t="n">
        <v>550</v>
      </c>
      <c r="K11" s="49">
        <f>I11-J11</f>
        <v/>
      </c>
      <c r="L11" s="9">
        <f>L10+I11</f>
        <v/>
      </c>
      <c r="M11" s="13">
        <f>M10+K11</f>
        <v/>
      </c>
    </row>
    <row r="12">
      <c r="A12" s="14" t="n">
        <v>8</v>
      </c>
      <c r="B12" s="50" t="n">
        <v>51414</v>
      </c>
      <c r="C12" s="50" t="n">
        <v>7500</v>
      </c>
      <c r="D12" s="15" t="n">
        <v>5000</v>
      </c>
      <c r="E12" s="15" t="n">
        <v>1500</v>
      </c>
      <c r="F12" s="15" t="n">
        <v>2775</v>
      </c>
      <c r="G12" s="15" t="n">
        <v>850</v>
      </c>
      <c r="H12" s="15" t="n">
        <v>1200</v>
      </c>
      <c r="I12" s="49">
        <f>SUM(D12:H12)</f>
        <v/>
      </c>
      <c r="J12" s="15" t="n">
        <v>525</v>
      </c>
      <c r="K12" s="49">
        <f>I12-J12</f>
        <v/>
      </c>
      <c r="L12" s="15">
        <f>L11+I12</f>
        <v/>
      </c>
      <c r="M12" s="19">
        <f>M11+K12</f>
        <v/>
      </c>
    </row>
    <row r="13">
      <c r="A13" s="8" t="n">
        <v>9</v>
      </c>
      <c r="B13" s="48" t="n">
        <v>55527</v>
      </c>
      <c r="C13" s="48" t="n">
        <v>8500</v>
      </c>
      <c r="D13" s="9" t="n">
        <v>5500</v>
      </c>
      <c r="E13" s="9" t="n">
        <v>2000</v>
      </c>
      <c r="F13" s="9" t="n">
        <v>3330</v>
      </c>
      <c r="G13" s="9" t="n">
        <v>950</v>
      </c>
      <c r="H13" s="9" t="n">
        <v>1200</v>
      </c>
      <c r="I13" s="49">
        <f>SUM(D13:H13)</f>
        <v/>
      </c>
      <c r="J13" s="9" t="n">
        <v>550</v>
      </c>
      <c r="K13" s="49">
        <f>I13-J13</f>
        <v/>
      </c>
      <c r="L13" s="9">
        <f>L12+I13</f>
        <v/>
      </c>
      <c r="M13" s="13">
        <f>M12+K13</f>
        <v/>
      </c>
    </row>
    <row r="14">
      <c r="A14" s="14" t="n">
        <v>10</v>
      </c>
      <c r="B14" s="50" t="n">
        <v>59969</v>
      </c>
      <c r="C14" s="50" t="n">
        <v>9500</v>
      </c>
      <c r="D14" s="15" t="n">
        <v>6000</v>
      </c>
      <c r="E14" s="15" t="n">
        <v>13500</v>
      </c>
      <c r="F14" s="15" t="n">
        <v>3885</v>
      </c>
      <c r="G14" s="15" t="n">
        <v>1050</v>
      </c>
      <c r="H14" s="15" t="n">
        <v>1500</v>
      </c>
      <c r="I14" s="49">
        <f>SUM(D14:H14)</f>
        <v/>
      </c>
      <c r="J14" s="15" t="n">
        <v>600</v>
      </c>
      <c r="K14" s="49">
        <f>I14-J14</f>
        <v/>
      </c>
      <c r="L14" s="15">
        <f>L13+I14</f>
        <v/>
      </c>
      <c r="M14" s="19">
        <f>M13+K14</f>
        <v/>
      </c>
    </row>
    <row r="15">
      <c r="A15" s="8" t="n">
        <v>11</v>
      </c>
      <c r="B15" s="48" t="n">
        <v>64766</v>
      </c>
      <c r="C15" s="48" t="n">
        <v>10500</v>
      </c>
      <c r="D15" s="9" t="n">
        <v>6500</v>
      </c>
      <c r="E15" s="9" t="n">
        <v>1800</v>
      </c>
      <c r="F15" s="9" t="n">
        <v>4440</v>
      </c>
      <c r="G15" s="9" t="n">
        <v>1150</v>
      </c>
      <c r="H15" s="9" t="n">
        <v>1500</v>
      </c>
      <c r="I15" s="49">
        <f>SUM(D15:H15)</f>
        <v/>
      </c>
      <c r="J15" s="9" t="n">
        <v>575</v>
      </c>
      <c r="K15" s="49">
        <f>I15-J15</f>
        <v/>
      </c>
      <c r="L15" s="9">
        <f>L14+I15</f>
        <v/>
      </c>
      <c r="M15" s="13">
        <f>M14+K15</f>
        <v/>
      </c>
    </row>
    <row r="16">
      <c r="A16" s="14" t="n">
        <v>12</v>
      </c>
      <c r="B16" s="50" t="n">
        <v>69948</v>
      </c>
      <c r="C16" s="50" t="n">
        <v>11500</v>
      </c>
      <c r="D16" s="15" t="n">
        <v>7000</v>
      </c>
      <c r="E16" s="15" t="n">
        <v>2200</v>
      </c>
      <c r="F16" s="15" t="n">
        <v>5550</v>
      </c>
      <c r="G16" s="15" t="n">
        <v>1250</v>
      </c>
      <c r="H16" s="15" t="n">
        <v>1500</v>
      </c>
      <c r="I16" s="49">
        <f>SUM(D16:H16)</f>
        <v/>
      </c>
      <c r="J16" s="15" t="n">
        <v>600</v>
      </c>
      <c r="K16" s="49">
        <f>I16-J16</f>
        <v/>
      </c>
      <c r="L16" s="15">
        <f>L15+I16</f>
        <v/>
      </c>
      <c r="M16" s="19">
        <f>M15+K16</f>
        <v/>
      </c>
    </row>
    <row r="17">
      <c r="A17" s="51" t="inlineStr">
        <is>
          <t>TOTALS</t>
        </is>
      </c>
      <c r="B17" s="52">
        <f>B16</f>
        <v/>
      </c>
      <c r="C17" s="52">
        <f>C16</f>
        <v/>
      </c>
      <c r="D17" s="38">
        <f>SUM(D5:D16)</f>
        <v/>
      </c>
      <c r="E17" s="38">
        <f>SUM(E5:E16)</f>
        <v/>
      </c>
      <c r="F17" s="38">
        <f>SUM(F5:F16)</f>
        <v/>
      </c>
      <c r="G17" s="38">
        <f>SUM(G5:G16)</f>
        <v/>
      </c>
      <c r="H17" s="38">
        <f>SUM(H5:H16)</f>
        <v/>
      </c>
      <c r="I17" s="38">
        <f>SUM(I5:I16)</f>
        <v/>
      </c>
      <c r="J17" s="38">
        <f>SUM(J5:J16)</f>
        <v/>
      </c>
      <c r="K17" s="38">
        <f>SUM(K5:K16)</f>
        <v/>
      </c>
      <c r="L17" s="38">
        <f>L16</f>
        <v/>
      </c>
      <c r="M17" s="39">
        <f>M16</f>
        <v/>
      </c>
    </row>
  </sheetData>
  <mergeCells count="2"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 ht="32" customHeight="1">
      <c r="A1" s="42" t="inlineStr">
        <is>
          <t>ANNUAL REVENUE BY STREAM — ALL SCENARIOS</t>
        </is>
      </c>
    </row>
    <row r="2">
      <c r="A2" s="43" t="inlineStr">
        <is>
          <t>Year 1 Comparison · Non-Punitive Parenting Niche · 30K Followers</t>
        </is>
      </c>
    </row>
    <row r="3"/>
    <row r="4" ht="28" customHeight="1">
      <c r="A4" s="44" t="inlineStr">
        <is>
          <t>Revenue Stream</t>
        </is>
      </c>
      <c r="B4" s="45" t="inlineStr">
        <is>
          <t>Conservative</t>
        </is>
      </c>
      <c r="C4" s="45" t="inlineStr">
        <is>
          <t>Moderate</t>
        </is>
      </c>
      <c r="D4" s="45" t="inlineStr">
        <is>
          <t>Optimistic</t>
        </is>
      </c>
      <c r="E4" s="47" t="inlineStr">
        <is>
          <t>% of Total (Mod)</t>
        </is>
      </c>
    </row>
    <row r="5">
      <c r="A5" s="27" t="inlineStr">
        <is>
          <t>Brand Partnerships</t>
        </is>
      </c>
      <c r="B5" s="9" t="n">
        <v>19800</v>
      </c>
      <c r="C5" s="9" t="n">
        <v>21600</v>
      </c>
      <c r="D5" s="9" t="n">
        <v>48500</v>
      </c>
      <c r="E5" s="54">
        <f>C5/C$10</f>
        <v/>
      </c>
    </row>
    <row r="6">
      <c r="A6" s="35" t="inlineStr">
        <is>
          <t>Courses &amp; Digital Products</t>
        </is>
      </c>
      <c r="B6" s="15" t="n">
        <v>16250</v>
      </c>
      <c r="C6" s="15" t="n">
        <v>28800</v>
      </c>
      <c r="D6" s="15" t="n">
        <v>44400</v>
      </c>
      <c r="E6" s="55">
        <f>C6/C$10</f>
        <v/>
      </c>
    </row>
    <row r="7">
      <c r="A7" s="27" t="inlineStr">
        <is>
          <t>Membership/Community</t>
        </is>
      </c>
      <c r="B7" s="9" t="n">
        <v>5365</v>
      </c>
      <c r="C7" s="9" t="n">
        <v>14400</v>
      </c>
      <c r="D7" s="9" t="n">
        <v>24975</v>
      </c>
      <c r="E7" s="54">
        <f>C7/C$10</f>
        <v/>
      </c>
    </row>
    <row r="8">
      <c r="A8" s="35" t="inlineStr">
        <is>
          <t>Affiliate Income</t>
        </is>
      </c>
      <c r="B8" s="15" t="n">
        <v>2250</v>
      </c>
      <c r="C8" s="15" t="n">
        <v>3600</v>
      </c>
      <c r="D8" s="15" t="n">
        <v>5400</v>
      </c>
      <c r="E8" s="55">
        <f>C8/C$10</f>
        <v/>
      </c>
    </row>
    <row r="9">
      <c r="A9" s="27" t="inlineStr">
        <is>
          <t>Coaching (1:1)</t>
        </is>
      </c>
      <c r="B9" s="9" t="n">
        <v>4600</v>
      </c>
      <c r="C9" s="9" t="n">
        <v>7200</v>
      </c>
      <c r="D9" s="9" t="n">
        <v>10800</v>
      </c>
      <c r="E9" s="54">
        <f>C9/C$10</f>
        <v/>
      </c>
    </row>
    <row r="10">
      <c r="A10" s="37" t="inlineStr">
        <is>
          <t>TOTAL</t>
        </is>
      </c>
      <c r="B10" s="38">
        <f>SUM(B5:B9)</f>
        <v/>
      </c>
      <c r="C10" s="38">
        <f>SUM(C5:C9)</f>
        <v/>
      </c>
      <c r="D10" s="38">
        <f>SUM(D5:D9)</f>
        <v/>
      </c>
      <c r="E10" s="56">
        <f>SUM(E5:E9)</f>
        <v/>
      </c>
    </row>
    <row r="11"/>
    <row r="12">
      <c r="A12" s="57" t="inlineStr">
        <is>
          <t>YEAR 1 REVENUE TARGETS</t>
        </is>
      </c>
    </row>
    <row r="13">
      <c r="A13" s="5" t="inlineStr"/>
      <c r="B13" s="6" t="inlineStr">
        <is>
          <t>Conservative</t>
        </is>
      </c>
      <c r="C13" s="6" t="inlineStr">
        <is>
          <t>Moderate</t>
        </is>
      </c>
      <c r="D13" s="6" t="inlineStr">
        <is>
          <t>Optimistic</t>
        </is>
      </c>
      <c r="E13" s="7" t="inlineStr">
        <is>
          <t>Variance (Opt vs Con)</t>
        </is>
      </c>
    </row>
    <row r="14">
      <c r="A14" s="27" t="inlineStr">
        <is>
          <t>Target Revenue</t>
        </is>
      </c>
      <c r="B14" s="9" t="n">
        <v>48000</v>
      </c>
      <c r="C14" s="9" t="n">
        <v>72000</v>
      </c>
      <c r="D14" s="9" t="n">
        <v>96000</v>
      </c>
      <c r="E14" s="13">
        <f>D14-B14</f>
        <v/>
      </c>
    </row>
    <row r="15">
      <c r="A15" s="58" t="inlineStr">
        <is>
          <t>Projected Revenue</t>
        </is>
      </c>
      <c r="B15" s="59">
        <f>B10</f>
        <v/>
      </c>
      <c r="C15" s="59">
        <f>C10</f>
        <v/>
      </c>
      <c r="D15" s="59">
        <f>D10</f>
        <v/>
      </c>
      <c r="E15" s="60">
        <f>D15-B15</f>
        <v/>
      </c>
    </row>
    <row r="16">
      <c r="A16" s="40" t="inlineStr">
        <is>
          <t>Variance vs Target</t>
        </is>
      </c>
      <c r="B16" s="61">
        <f>B15-B14</f>
        <v/>
      </c>
      <c r="C16" s="61">
        <f>C15-C14</f>
        <v/>
      </c>
      <c r="D16" s="61">
        <f>D15-D14</f>
        <v/>
      </c>
      <c r="E16" s="62" t="inlineStr"/>
    </row>
  </sheetData>
  <mergeCells count="3">
    <mergeCell ref="A2:F2"/>
    <mergeCell ref="A12:E1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34" customWidth="1" min="5" max="5"/>
  </cols>
  <sheetData>
    <row r="1" ht="32" customHeight="1">
      <c r="A1" s="42" t="inlineStr">
        <is>
          <t>CONVERSION &amp; BENCHMARK ASSUMPTIONS</t>
        </is>
      </c>
    </row>
    <row r="2">
      <c r="A2" s="43" t="inlineStr">
        <is>
          <t>Non-Punitive Parenting Niche · Seattle, WA · All Scenarios</t>
        </is>
      </c>
    </row>
    <row r="3"/>
    <row r="4" ht="28" customHeight="1">
      <c r="A4" s="44" t="inlineStr">
        <is>
          <t>Metric</t>
        </is>
      </c>
      <c r="B4" s="45" t="inlineStr">
        <is>
          <t>Conservative</t>
        </is>
      </c>
      <c r="C4" s="45" t="inlineStr">
        <is>
          <t>Moderate</t>
        </is>
      </c>
      <c r="D4" s="45" t="inlineStr">
        <is>
          <t>Optimistic</t>
        </is>
      </c>
      <c r="E4" s="47" t="inlineStr">
        <is>
          <t>Source / Benchmark</t>
        </is>
      </c>
    </row>
    <row r="5">
      <c r="A5" s="63" t="inlineStr">
        <is>
          <t>AUDIENCE GROWTH</t>
        </is>
      </c>
      <c r="B5" s="74" t="n"/>
      <c r="C5" s="74" t="n"/>
      <c r="D5" s="74" t="n"/>
      <c r="E5" s="75" t="n"/>
    </row>
    <row r="6">
      <c r="A6" s="35" t="inlineStr">
        <is>
          <t>Starting Followers</t>
        </is>
      </c>
      <c r="B6" s="66" t="inlineStr">
        <is>
          <t>30,000</t>
        </is>
      </c>
      <c r="C6" s="66" t="inlineStr">
        <is>
          <t>30,000</t>
        </is>
      </c>
      <c r="D6" s="66" t="inlineStr">
        <is>
          <t>30,000</t>
        </is>
      </c>
      <c r="E6" s="67" t="inlineStr">
        <is>
          <t>Current account</t>
        </is>
      </c>
    </row>
    <row r="7">
      <c r="A7" s="27" t="inlineStr">
        <is>
          <t>Monthly Follower Growth Rate</t>
        </is>
      </c>
      <c r="B7" s="68" t="inlineStr">
        <is>
          <t>3%</t>
        </is>
      </c>
      <c r="C7" s="68" t="inlineStr">
        <is>
          <t>5%</t>
        </is>
      </c>
      <c r="D7" s="68" t="inlineStr">
        <is>
          <t>8%</t>
        </is>
      </c>
      <c r="E7" s="69" t="inlineStr">
        <is>
          <t>Industry avg for micro: 2–5%</t>
        </is>
      </c>
    </row>
    <row r="8">
      <c r="A8" s="35" t="inlineStr">
        <is>
          <t>Month 12 Followers</t>
        </is>
      </c>
      <c r="B8" s="66" t="inlineStr">
        <is>
          <t>41,527</t>
        </is>
      </c>
      <c r="C8" s="66" t="inlineStr">
        <is>
          <t>48,839</t>
        </is>
      </c>
      <c r="D8" s="66" t="inlineStr">
        <is>
          <t>63,910</t>
        </is>
      </c>
      <c r="E8" s="67" t="inlineStr">
        <is>
          <t>Calculated</t>
        </is>
      </c>
    </row>
    <row r="9">
      <c r="A9" s="27" t="inlineStr">
        <is>
          <t>Email List Conversion (from followers)</t>
        </is>
      </c>
      <c r="B9" s="68" t="inlineStr">
        <is>
          <t>2%</t>
        </is>
      </c>
      <c r="C9" s="68" t="inlineStr">
        <is>
          <t>3%</t>
        </is>
      </c>
      <c r="D9" s="68" t="inlineStr">
        <is>
          <t>5%</t>
        </is>
      </c>
      <c r="E9" s="69" t="inlineStr">
        <is>
          <t>Benchmark: 2–5%</t>
        </is>
      </c>
    </row>
    <row r="10">
      <c r="A10" s="35" t="inlineStr">
        <is>
          <t>Monthly New Email Subscribers</t>
        </is>
      </c>
      <c r="B10" s="66" t="inlineStr">
        <is>
          <t>500</t>
        </is>
      </c>
      <c r="C10" s="66" t="inlineStr">
        <is>
          <t>700</t>
        </is>
      </c>
      <c r="D10" s="66" t="inlineStr">
        <is>
          <t>1,000</t>
        </is>
      </c>
      <c r="E10" s="67" t="inlineStr">
        <is>
          <t>From IG + lead magnet</t>
        </is>
      </c>
    </row>
    <row r="11">
      <c r="A11" s="27" t="inlineStr">
        <is>
          <t>Month 12 Email List Size</t>
        </is>
      </c>
      <c r="B11" s="68" t="inlineStr">
        <is>
          <t>8,400</t>
        </is>
      </c>
      <c r="C11" s="68" t="inlineStr">
        <is>
          <t>10,500</t>
        </is>
      </c>
      <c r="D11" s="68" t="inlineStr">
        <is>
          <t>14,000</t>
        </is>
      </c>
      <c r="E11" s="69" t="inlineStr">
        <is>
          <t>Calculated</t>
        </is>
      </c>
    </row>
    <row r="12">
      <c r="A12" s="70" t="inlineStr"/>
      <c r="B12" s="64" t="inlineStr"/>
      <c r="C12" s="64" t="inlineStr"/>
      <c r="D12" s="64" t="inlineStr"/>
      <c r="E12" s="65" t="inlineStr"/>
    </row>
    <row r="13">
      <c r="A13" s="63" t="inlineStr">
        <is>
          <t>COURSE METRICS</t>
        </is>
      </c>
      <c r="B13" s="74" t="n"/>
      <c r="C13" s="74" t="n"/>
      <c r="D13" s="74" t="n"/>
      <c r="E13" s="75" t="n"/>
    </row>
    <row r="14">
      <c r="A14" s="35" t="inlineStr">
        <is>
          <t>Email → Course Conversion</t>
        </is>
      </c>
      <c r="B14" s="66" t="inlineStr">
        <is>
          <t>2%</t>
        </is>
      </c>
      <c r="C14" s="66" t="inlineStr">
        <is>
          <t>3.5%</t>
        </is>
      </c>
      <c r="D14" s="66" t="inlineStr">
        <is>
          <t>5%</t>
        </is>
      </c>
      <c r="E14" s="67" t="inlineStr">
        <is>
          <t>Industry: 2–5%</t>
        </is>
      </c>
    </row>
    <row r="15">
      <c r="A15" s="27" t="inlineStr">
        <is>
          <t>Course Price Point</t>
        </is>
      </c>
      <c r="B15" s="68" t="inlineStr">
        <is>
          <t>$147</t>
        </is>
      </c>
      <c r="C15" s="68" t="inlineStr">
        <is>
          <t>$197</t>
        </is>
      </c>
      <c r="D15" s="68" t="inlineStr">
        <is>
          <t>$297</t>
        </is>
      </c>
      <c r="E15" s="69" t="inlineStr">
        <is>
          <t>Market range: $97–$397</t>
        </is>
      </c>
    </row>
    <row r="16">
      <c r="A16" s="35" t="inlineStr">
        <is>
          <t>Cohort Size (avg)</t>
        </is>
      </c>
      <c r="B16" s="66" t="inlineStr">
        <is>
          <t>20</t>
        </is>
      </c>
      <c r="C16" s="66" t="inlineStr">
        <is>
          <t>30</t>
        </is>
      </c>
      <c r="D16" s="66" t="inlineStr">
        <is>
          <t>45</t>
        </is>
      </c>
      <c r="E16" s="67" t="inlineStr">
        <is>
          <t>Based on conversion</t>
        </is>
      </c>
    </row>
    <row r="17">
      <c r="A17" s="27" t="inlineStr">
        <is>
          <t>Cohorts Per Year</t>
        </is>
      </c>
      <c r="B17" s="68" t="inlineStr">
        <is>
          <t>3</t>
        </is>
      </c>
      <c r="C17" s="68" t="inlineStr">
        <is>
          <t>4</t>
        </is>
      </c>
      <c r="D17" s="68" t="inlineStr">
        <is>
          <t>4</t>
        </is>
      </c>
      <c r="E17" s="69" t="inlineStr">
        <is>
          <t>Quarterly cadence</t>
        </is>
      </c>
    </row>
    <row r="18">
      <c r="A18" s="35" t="inlineStr">
        <is>
          <t>Course Completion Rate</t>
        </is>
      </c>
      <c r="B18" s="66" t="inlineStr">
        <is>
          <t>65%</t>
        </is>
      </c>
      <c r="C18" s="66" t="inlineStr">
        <is>
          <t>73%</t>
        </is>
      </c>
      <c r="D18" s="66" t="inlineStr">
        <is>
          <t>80%</t>
        </is>
      </c>
      <c r="E18" s="67" t="inlineStr">
        <is>
          <t>Benchmark: 73% (Teachery)</t>
        </is>
      </c>
    </row>
    <row r="19">
      <c r="A19" s="70" t="inlineStr"/>
      <c r="B19" s="64" t="inlineStr"/>
      <c r="C19" s="64" t="inlineStr"/>
      <c r="D19" s="64" t="inlineStr"/>
      <c r="E19" s="65" t="inlineStr"/>
    </row>
    <row r="20">
      <c r="A20" s="63" t="inlineStr">
        <is>
          <t>MEMBERSHIP METRICS</t>
        </is>
      </c>
      <c r="B20" s="74" t="n"/>
      <c r="C20" s="74" t="n"/>
      <c r="D20" s="74" t="n"/>
      <c r="E20" s="75" t="n"/>
    </row>
    <row r="21">
      <c r="A21" s="27" t="inlineStr">
        <is>
          <t>Membership Price</t>
        </is>
      </c>
      <c r="B21" s="68" t="inlineStr">
        <is>
          <t>$19/mo</t>
        </is>
      </c>
      <c r="C21" s="68" t="inlineStr">
        <is>
          <t>$27/mo</t>
        </is>
      </c>
      <c r="D21" s="68" t="inlineStr">
        <is>
          <t>$37/mo</t>
        </is>
      </c>
      <c r="E21" s="69" t="inlineStr">
        <is>
          <t>Benchmark: $19–$37</t>
        </is>
      </c>
    </row>
    <row r="22">
      <c r="A22" s="35" t="inlineStr">
        <is>
          <t>Membership Retention (6-month)</t>
        </is>
      </c>
      <c r="B22" s="66" t="inlineStr">
        <is>
          <t>40%</t>
        </is>
      </c>
      <c r="C22" s="66" t="inlineStr">
        <is>
          <t>55%</t>
        </is>
      </c>
      <c r="D22" s="66" t="inlineStr">
        <is>
          <t>70%</t>
        </is>
      </c>
      <c r="E22" s="67" t="inlineStr">
        <is>
          <t>Industry: 40–70%</t>
        </is>
      </c>
    </row>
    <row r="23">
      <c r="A23" s="27" t="inlineStr">
        <is>
          <t>Month 12 Active Members</t>
        </is>
      </c>
      <c r="B23" s="68" t="inlineStr">
        <is>
          <t>60</t>
        </is>
      </c>
      <c r="C23" s="68" t="inlineStr">
        <is>
          <t>100</t>
        </is>
      </c>
      <c r="D23" s="68" t="inlineStr">
        <is>
          <t>150</t>
        </is>
      </c>
      <c r="E23" s="69" t="inlineStr">
        <is>
          <t>Projected</t>
        </is>
      </c>
    </row>
    <row r="24">
      <c r="A24" s="70" t="inlineStr"/>
      <c r="B24" s="64" t="inlineStr"/>
      <c r="C24" s="64" t="inlineStr"/>
      <c r="D24" s="64" t="inlineStr"/>
      <c r="E24" s="65" t="inlineStr"/>
    </row>
    <row r="25">
      <c r="A25" s="63" t="inlineStr">
        <is>
          <t>BRAND &amp; AFFILIATE</t>
        </is>
      </c>
      <c r="B25" s="74" t="n"/>
      <c r="C25" s="74" t="n"/>
      <c r="D25" s="74" t="n"/>
      <c r="E25" s="75" t="n"/>
    </row>
    <row r="26">
      <c r="A26" s="35" t="inlineStr">
        <is>
          <t>Brand Deal Rate (Reel)</t>
        </is>
      </c>
      <c r="B26" s="66" t="inlineStr">
        <is>
          <t>$400</t>
        </is>
      </c>
      <c r="C26" s="66" t="inlineStr">
        <is>
          <t>$750</t>
        </is>
      </c>
      <c r="D26" s="66" t="inlineStr">
        <is>
          <t>$1,250</t>
        </is>
      </c>
      <c r="E26" s="67" t="inlineStr">
        <is>
          <t>Micro tier + parenting premium</t>
        </is>
      </c>
    </row>
    <row r="27">
      <c r="A27" s="27" t="inlineStr">
        <is>
          <t>Brand Deals Per Month (avg)</t>
        </is>
      </c>
      <c r="B27" s="68" t="inlineStr">
        <is>
          <t>1.5</t>
        </is>
      </c>
      <c r="C27" s="68" t="inlineStr">
        <is>
          <t>2.5</t>
        </is>
      </c>
      <c r="D27" s="68" t="inlineStr">
        <is>
          <t>4</t>
        </is>
      </c>
      <c r="E27" s="69" t="inlineStr">
        <is>
          <t>Growing over year</t>
        </is>
      </c>
    </row>
    <row r="28">
      <c r="A28" s="35" t="inlineStr">
        <is>
          <t>Affiliate Commission Rate</t>
        </is>
      </c>
      <c r="B28" s="66" t="inlineStr">
        <is>
          <t>15%</t>
        </is>
      </c>
      <c r="C28" s="66" t="inlineStr">
        <is>
          <t>20%</t>
        </is>
      </c>
      <c r="D28" s="66" t="inlineStr">
        <is>
          <t>25%</t>
        </is>
      </c>
      <c r="E28" s="67" t="inlineStr">
        <is>
          <t>Digital products higher</t>
        </is>
      </c>
    </row>
    <row r="29">
      <c r="A29" s="70" t="inlineStr"/>
      <c r="B29" s="64" t="inlineStr"/>
      <c r="C29" s="64" t="inlineStr"/>
      <c r="D29" s="64" t="inlineStr"/>
      <c r="E29" s="65" t="inlineStr"/>
    </row>
    <row r="30">
      <c r="A30" s="63" t="inlineStr">
        <is>
          <t>COACHING</t>
        </is>
      </c>
      <c r="B30" s="74" t="n"/>
      <c r="C30" s="74" t="n"/>
      <c r="D30" s="74" t="n"/>
      <c r="E30" s="75" t="n"/>
    </row>
    <row r="31">
      <c r="A31" s="27" t="inlineStr">
        <is>
          <t>Coaching Rate/Hour</t>
        </is>
      </c>
      <c r="B31" s="68" t="inlineStr">
        <is>
          <t>$150</t>
        </is>
      </c>
      <c r="C31" s="68" t="inlineStr">
        <is>
          <t>$200</t>
        </is>
      </c>
      <c r="D31" s="68" t="inlineStr">
        <is>
          <t>$300</t>
        </is>
      </c>
      <c r="E31" s="69" t="inlineStr">
        <is>
          <t>Market: $150–$400</t>
        </is>
      </c>
    </row>
    <row r="32">
      <c r="A32" s="35" t="inlineStr">
        <is>
          <t>Coaching Hours/Month</t>
        </is>
      </c>
      <c r="B32" s="66" t="inlineStr">
        <is>
          <t>2</t>
        </is>
      </c>
      <c r="C32" s="66" t="inlineStr">
        <is>
          <t>3</t>
        </is>
      </c>
      <c r="D32" s="66" t="inlineStr">
        <is>
          <t>4</t>
        </is>
      </c>
      <c r="E32" s="67" t="inlineStr">
        <is>
          <t>Limited capacity</t>
        </is>
      </c>
    </row>
    <row r="33">
      <c r="A33" s="70" t="inlineStr"/>
      <c r="B33" s="64" t="inlineStr"/>
      <c r="C33" s="64" t="inlineStr"/>
      <c r="D33" s="64" t="inlineStr"/>
      <c r="E33" s="65" t="inlineStr"/>
    </row>
    <row r="34">
      <c r="A34" s="63" t="inlineStr">
        <is>
          <t>EXPENSES &amp; ENGAGEMENT</t>
        </is>
      </c>
      <c r="B34" s="74" t="n"/>
      <c r="C34" s="74" t="n"/>
      <c r="D34" s="74" t="n"/>
      <c r="E34" s="75" t="n"/>
    </row>
    <row r="35">
      <c r="A35" s="27" t="inlineStr">
        <is>
          <t>Monthly Expenses</t>
        </is>
      </c>
      <c r="B35" s="68" t="inlineStr">
        <is>
          <t>$150–$450</t>
        </is>
      </c>
      <c r="C35" s="68" t="inlineStr">
        <is>
          <t>$200–$500</t>
        </is>
      </c>
      <c r="D35" s="68" t="inlineStr">
        <is>
          <t>$250–$600</t>
        </is>
      </c>
      <c r="E35" s="69" t="inlineStr">
        <is>
          <t>Platform + tools + content</t>
        </is>
      </c>
    </row>
    <row r="36">
      <c r="A36" s="35" t="inlineStr">
        <is>
          <t>Engagement Rate</t>
        </is>
      </c>
      <c r="B36" s="66" t="inlineStr">
        <is>
          <t>4%</t>
        </is>
      </c>
      <c r="C36" s="66" t="inlineStr">
        <is>
          <t>5.5%</t>
        </is>
      </c>
      <c r="D36" s="66" t="inlineStr">
        <is>
          <t>7%</t>
        </is>
      </c>
      <c r="E36" s="67" t="inlineStr">
        <is>
          <t>Parenting avg: 3–8%</t>
        </is>
      </c>
    </row>
    <row r="37">
      <c r="A37" s="27" t="inlineStr">
        <is>
          <t>Reel Completion Rate</t>
        </is>
      </c>
      <c r="B37" s="68" t="inlineStr">
        <is>
          <t>30%</t>
        </is>
      </c>
      <c r="C37" s="68" t="inlineStr">
        <is>
          <t>45%</t>
        </is>
      </c>
      <c r="D37" s="68" t="inlineStr">
        <is>
          <t>55%</t>
        </is>
      </c>
      <c r="E37" s="69" t="inlineStr">
        <is>
          <t>Benchmark: 30–50% (Viralfy)</t>
        </is>
      </c>
    </row>
    <row r="38">
      <c r="A38" s="71" t="inlineStr">
        <is>
          <t>Story Link CTR</t>
        </is>
      </c>
      <c r="B38" s="72" t="inlineStr">
        <is>
          <t>0.5%</t>
        </is>
      </c>
      <c r="C38" s="72" t="inlineStr">
        <is>
          <t>1.2%</t>
        </is>
      </c>
      <c r="D38" s="72" t="inlineStr">
        <is>
          <t>2%</t>
        </is>
      </c>
      <c r="E38" s="73" t="inlineStr">
        <is>
          <t>Benchmark: 0.5–2%</t>
        </is>
      </c>
    </row>
  </sheetData>
  <mergeCells count="8">
    <mergeCell ref="A30:E30"/>
    <mergeCell ref="A2:F2"/>
    <mergeCell ref="A34:E34"/>
    <mergeCell ref="A20:E20"/>
    <mergeCell ref="A1:F1"/>
    <mergeCell ref="A25:E25"/>
    <mergeCell ref="A5:E5"/>
    <mergeCell ref="A13:E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18" customWidth="1" min="5" max="5"/>
  </cols>
  <sheetData>
    <row r="1" ht="32" customHeight="1">
      <c r="A1" s="42" t="inlineStr">
        <is>
          <t>SENSITIVITY ANALYSIS — MODERATE SCENARIO BASELINE ($72,000)</t>
        </is>
      </c>
    </row>
    <row r="2">
      <c r="A2" s="43" t="inlineStr">
        <is>
          <t>How key variables impact Year 1 revenue · Baseline: Moderate Scenario</t>
        </is>
      </c>
    </row>
    <row r="3"/>
    <row r="4">
      <c r="A4" s="76" t="inlineStr">
        <is>
          <t>TABLE 1: Revenue Sensitivity to Follower Growth Rate</t>
        </is>
      </c>
      <c r="B4" s="32" t="n"/>
      <c r="C4" s="32" t="n"/>
      <c r="D4" s="32" t="n"/>
      <c r="E4" s="32" t="n"/>
    </row>
    <row r="5">
      <c r="A5" s="44" t="inlineStr">
        <is>
          <t>Growth Rate</t>
        </is>
      </c>
      <c r="B5" s="45" t="inlineStr">
        <is>
          <t>Impact on Brand Rev</t>
        </is>
      </c>
      <c r="C5" s="45" t="inlineStr">
        <is>
          <t>Impact on Email List</t>
        </is>
      </c>
      <c r="D5" s="45" t="inlineStr">
        <is>
          <t>Impact on Course Rev</t>
        </is>
      </c>
      <c r="E5" s="47" t="inlineStr">
        <is>
          <t>Impact on Total Rev</t>
        </is>
      </c>
    </row>
    <row r="6">
      <c r="A6" s="8" t="inlineStr">
        <is>
          <t>2%</t>
        </is>
      </c>
      <c r="B6" s="9" t="n">
        <v>18000</v>
      </c>
      <c r="C6" s="9" t="n">
        <v>7200</v>
      </c>
      <c r="D6" s="9" t="n">
        <v>22000</v>
      </c>
      <c r="E6" s="13" t="n">
        <v>58000</v>
      </c>
    </row>
    <row r="7">
      <c r="A7" s="14" t="inlineStr">
        <is>
          <t>3%</t>
        </is>
      </c>
      <c r="B7" s="15" t="n">
        <v>21600</v>
      </c>
      <c r="C7" s="15" t="n">
        <v>8400</v>
      </c>
      <c r="D7" s="15" t="n">
        <v>25200</v>
      </c>
      <c r="E7" s="19" t="n">
        <v>64000</v>
      </c>
    </row>
    <row r="8">
      <c r="A8" s="77" t="inlineStr">
        <is>
          <t>5% (Baseline)</t>
        </is>
      </c>
      <c r="B8" s="78" t="n">
        <v>30000</v>
      </c>
      <c r="C8" s="78" t="n">
        <v>10500</v>
      </c>
      <c r="D8" s="78" t="n">
        <v>28800</v>
      </c>
      <c r="E8" s="79" t="n">
        <v>72000</v>
      </c>
    </row>
    <row r="9">
      <c r="A9" s="14" t="inlineStr">
        <is>
          <t>8%</t>
        </is>
      </c>
      <c r="B9" s="15" t="n">
        <v>36000</v>
      </c>
      <c r="C9" s="15" t="n">
        <v>14000</v>
      </c>
      <c r="D9" s="15" t="n">
        <v>34500</v>
      </c>
      <c r="E9" s="19" t="n">
        <v>84000</v>
      </c>
    </row>
    <row r="10">
      <c r="A10" s="20" t="inlineStr">
        <is>
          <t>10%</t>
        </is>
      </c>
      <c r="B10" s="21" t="n">
        <v>42000</v>
      </c>
      <c r="C10" s="21" t="n">
        <v>16800</v>
      </c>
      <c r="D10" s="21" t="n">
        <v>38400</v>
      </c>
      <c r="E10" s="80" t="n">
        <v>96000</v>
      </c>
    </row>
    <row r="11"/>
    <row r="12"/>
    <row r="13">
      <c r="A13" s="76" t="inlineStr">
        <is>
          <t>TABLE 2: Revenue Sensitivity to Course Price Point</t>
        </is>
      </c>
      <c r="B13" s="32" t="n"/>
      <c r="C13" s="32" t="n"/>
      <c r="D13" s="32" t="n"/>
      <c r="E13" s="32" t="n"/>
    </row>
    <row r="14">
      <c r="A14" s="44" t="inlineStr">
        <is>
          <t>Course Price</t>
        </is>
      </c>
      <c r="B14" s="45" t="inlineStr">
        <is>
          <t>Expected Enrollment</t>
        </is>
      </c>
      <c r="C14" s="45" t="inlineStr">
        <is>
          <t>Course Revenue</t>
        </is>
      </c>
      <c r="D14" s="45" t="inlineStr">
        <is>
          <t>Total Year Revenue</t>
        </is>
      </c>
      <c r="E14" s="47" t="inlineStr">
        <is>
          <t>Δ vs Baseline</t>
        </is>
      </c>
    </row>
    <row r="15">
      <c r="A15" s="8" t="inlineStr">
        <is>
          <t>$97</t>
        </is>
      </c>
      <c r="B15" s="48" t="n">
        <v>150</v>
      </c>
      <c r="C15" s="9" t="n">
        <v>14550</v>
      </c>
      <c r="D15" s="9" t="n">
        <v>57750</v>
      </c>
      <c r="E15" s="13" t="n">
        <v>-14250</v>
      </c>
    </row>
    <row r="16">
      <c r="A16" s="14" t="inlineStr">
        <is>
          <t>$147</t>
        </is>
      </c>
      <c r="B16" s="50" t="n">
        <v>120</v>
      </c>
      <c r="C16" s="15" t="n">
        <v>17640</v>
      </c>
      <c r="D16" s="15" t="n">
        <v>60840</v>
      </c>
      <c r="E16" s="19" t="n">
        <v>-11160</v>
      </c>
    </row>
    <row r="17">
      <c r="A17" s="77" t="inlineStr">
        <is>
          <t>$197 (Baseline)</t>
        </is>
      </c>
      <c r="B17" s="81" t="n">
        <v>100</v>
      </c>
      <c r="C17" s="78" t="n">
        <v>28800</v>
      </c>
      <c r="D17" s="78" t="n">
        <v>72000</v>
      </c>
      <c r="E17" s="79" t="n">
        <v>0</v>
      </c>
    </row>
    <row r="18">
      <c r="A18" s="14" t="inlineStr">
        <is>
          <t>$247</t>
        </is>
      </c>
      <c r="B18" s="50" t="n">
        <v>80</v>
      </c>
      <c r="C18" s="15" t="n">
        <v>19760</v>
      </c>
      <c r="D18" s="15" t="n">
        <v>62960</v>
      </c>
      <c r="E18" s="19" t="n">
        <v>-9040</v>
      </c>
    </row>
    <row r="19">
      <c r="A19" s="20" t="inlineStr">
        <is>
          <t>$297</t>
        </is>
      </c>
      <c r="B19" s="82" t="n">
        <v>65</v>
      </c>
      <c r="C19" s="21" t="n">
        <v>19305</v>
      </c>
      <c r="D19" s="21" t="n">
        <v>62505</v>
      </c>
      <c r="E19" s="80" t="n">
        <v>-9495</v>
      </c>
    </row>
    <row r="20"/>
    <row r="21"/>
    <row r="22">
      <c r="A22" s="76" t="inlineStr">
        <is>
          <t>TABLE 3: Revenue Sensitivity to Membership Retention Rate</t>
        </is>
      </c>
      <c r="B22" s="32" t="n"/>
      <c r="C22" s="32" t="n"/>
      <c r="D22" s="32" t="n"/>
    </row>
    <row r="23">
      <c r="A23" s="44" t="inlineStr">
        <is>
          <t>Retention Rate</t>
        </is>
      </c>
      <c r="B23" s="45" t="inlineStr">
        <is>
          <t>Avg Monthly Members</t>
        </is>
      </c>
      <c r="C23" s="45" t="inlineStr">
        <is>
          <t>Monthly MRR</t>
        </is>
      </c>
      <c r="D23" s="47" t="inlineStr">
        <is>
          <t>Annual Membership Rev</t>
        </is>
      </c>
    </row>
    <row r="24">
      <c r="A24" s="8" t="inlineStr">
        <is>
          <t>30%</t>
        </is>
      </c>
      <c r="B24" s="48" t="n">
        <v>40</v>
      </c>
      <c r="C24" s="9" t="n">
        <v>1080</v>
      </c>
      <c r="D24" s="13" t="n">
        <v>12960</v>
      </c>
    </row>
    <row r="25">
      <c r="A25" s="14" t="inlineStr">
        <is>
          <t>40%</t>
        </is>
      </c>
      <c r="B25" s="50" t="n">
        <v>55</v>
      </c>
      <c r="C25" s="15" t="n">
        <v>1485</v>
      </c>
      <c r="D25" s="19" t="n">
        <v>17820</v>
      </c>
    </row>
    <row r="26">
      <c r="A26" s="77" t="inlineStr">
        <is>
          <t>50% (Baseline)</t>
        </is>
      </c>
      <c r="B26" s="81" t="n">
        <v>70</v>
      </c>
      <c r="C26" s="78" t="n">
        <v>1890</v>
      </c>
      <c r="D26" s="79" t="n">
        <v>22680</v>
      </c>
    </row>
    <row r="27">
      <c r="A27" s="14" t="inlineStr">
        <is>
          <t>60%</t>
        </is>
      </c>
      <c r="B27" s="50" t="n">
        <v>85</v>
      </c>
      <c r="C27" s="15" t="n">
        <v>2295</v>
      </c>
      <c r="D27" s="19" t="n">
        <v>27540</v>
      </c>
    </row>
    <row r="28">
      <c r="A28" s="8" t="inlineStr">
        <is>
          <t>70%</t>
        </is>
      </c>
      <c r="B28" s="48" t="n">
        <v>100</v>
      </c>
      <c r="C28" s="9" t="n">
        <v>2700</v>
      </c>
      <c r="D28" s="13" t="n">
        <v>32400</v>
      </c>
    </row>
    <row r="29">
      <c r="A29" s="83" t="inlineStr">
        <is>
          <t>80%</t>
        </is>
      </c>
      <c r="B29" s="84" t="n">
        <v>115</v>
      </c>
      <c r="C29" s="25" t="n">
        <v>3105</v>
      </c>
      <c r="D29" s="26" t="n">
        <v>37260</v>
      </c>
    </row>
    <row r="30"/>
    <row r="31"/>
    <row r="32">
      <c r="A32" s="76" t="inlineStr">
        <is>
          <t>TABLE 4: Revenue Sensitivity to Brand Deal Volume</t>
        </is>
      </c>
      <c r="B32" s="32" t="n"/>
      <c r="C32" s="32" t="n"/>
      <c r="D32" s="32" t="n"/>
    </row>
    <row r="33">
      <c r="A33" s="44" t="inlineStr">
        <is>
          <t>Deals/Month</t>
        </is>
      </c>
      <c r="B33" s="45" t="inlineStr">
        <is>
          <t>Avg Deal Value</t>
        </is>
      </c>
      <c r="C33" s="45" t="inlineStr">
        <is>
          <t>Monthly Brand Revenue</t>
        </is>
      </c>
      <c r="D33" s="47" t="inlineStr">
        <is>
          <t>Annual Brand Revenue</t>
        </is>
      </c>
    </row>
    <row r="34">
      <c r="A34" s="8" t="inlineStr">
        <is>
          <t>1/month</t>
        </is>
      </c>
      <c r="B34" s="9" t="n">
        <v>750</v>
      </c>
      <c r="C34" s="9" t="n">
        <v>750</v>
      </c>
      <c r="D34" s="13" t="n">
        <v>9000</v>
      </c>
    </row>
    <row r="35">
      <c r="A35" s="14" t="inlineStr">
        <is>
          <t>2/month</t>
        </is>
      </c>
      <c r="B35" s="15" t="n">
        <v>750</v>
      </c>
      <c r="C35" s="15" t="n">
        <v>1500</v>
      </c>
      <c r="D35" s="19" t="n">
        <v>18000</v>
      </c>
    </row>
    <row r="36">
      <c r="A36" s="77" t="inlineStr">
        <is>
          <t>2.5/month (Baseline)</t>
        </is>
      </c>
      <c r="B36" s="78" t="n">
        <v>750</v>
      </c>
      <c r="C36" s="78" t="n">
        <v>1875</v>
      </c>
      <c r="D36" s="79" t="n">
        <v>22500</v>
      </c>
    </row>
    <row r="37">
      <c r="A37" s="14" t="inlineStr">
        <is>
          <t>3/month</t>
        </is>
      </c>
      <c r="B37" s="15" t="n">
        <v>750</v>
      </c>
      <c r="C37" s="15" t="n">
        <v>2250</v>
      </c>
      <c r="D37" s="19" t="n">
        <v>27000</v>
      </c>
    </row>
    <row r="38">
      <c r="A38" s="8" t="inlineStr">
        <is>
          <t>4/month</t>
        </is>
      </c>
      <c r="B38" s="9" t="n">
        <v>750</v>
      </c>
      <c r="C38" s="9" t="n">
        <v>3000</v>
      </c>
      <c r="D38" s="13" t="n">
        <v>36000</v>
      </c>
    </row>
    <row r="39">
      <c r="A39" s="83" t="inlineStr">
        <is>
          <t>5/month</t>
        </is>
      </c>
      <c r="B39" s="25" t="n">
        <v>750</v>
      </c>
      <c r="C39" s="25" t="n">
        <v>3750</v>
      </c>
      <c r="D39" s="26" t="n">
        <v>45000</v>
      </c>
    </row>
  </sheetData>
  <mergeCells count="6">
    <mergeCell ref="A4:E4"/>
    <mergeCell ref="A22:D22"/>
    <mergeCell ref="A2:H2"/>
    <mergeCell ref="A13:E13"/>
    <mergeCell ref="A1:H1"/>
    <mergeCell ref="A32:D3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</cols>
  <sheetData>
    <row r="1" ht="32" customHeight="1">
      <c r="A1" s="42" t="inlineStr">
        <is>
          <t>PRICING SCENARIOS COMPARISON</t>
        </is>
      </c>
    </row>
    <row r="2">
      <c r="A2" s="43" t="inlineStr">
        <is>
          <t>Non-Punitive Parenting Niche · 30K Followers · Seattle, WA</t>
        </is>
      </c>
    </row>
    <row r="3"/>
    <row r="4" ht="28" customHeight="1">
      <c r="A4" s="44" t="inlineStr">
        <is>
          <t>Component</t>
        </is>
      </c>
      <c r="B4" s="45" t="inlineStr">
        <is>
          <t>Budget-Friendly</t>
        </is>
      </c>
      <c r="C4" s="45" t="inlineStr">
        <is>
          <t>Mid-Market ★</t>
        </is>
      </c>
      <c r="D4" s="47" t="inlineStr">
        <is>
          <t>Premium</t>
        </is>
      </c>
    </row>
    <row r="5">
      <c r="A5" s="27" t="inlineStr">
        <is>
          <t>Flagship Course</t>
        </is>
      </c>
      <c r="B5" s="9" t="n">
        <v>97</v>
      </c>
      <c r="C5" s="85" t="n">
        <v>197</v>
      </c>
      <c r="D5" s="13" t="n">
        <v>297</v>
      </c>
    </row>
    <row r="6">
      <c r="A6" s="35" t="inlineStr">
        <is>
          <t>Mini-Course</t>
        </is>
      </c>
      <c r="B6" s="15" t="n">
        <v>27</v>
      </c>
      <c r="C6" s="85" t="n">
        <v>47</v>
      </c>
      <c r="D6" s="19" t="n">
        <v>97</v>
      </c>
    </row>
    <row r="7">
      <c r="A7" s="27" t="inlineStr">
        <is>
          <t>Membership (Monthly)</t>
        </is>
      </c>
      <c r="B7" s="9" t="n">
        <v>19</v>
      </c>
      <c r="C7" s="85" t="n">
        <v>27</v>
      </c>
      <c r="D7" s="13" t="n">
        <v>37</v>
      </c>
    </row>
    <row r="8">
      <c r="A8" s="35" t="inlineStr">
        <is>
          <t>Membership (Annual)</t>
        </is>
      </c>
      <c r="B8" s="15" t="n">
        <v>149</v>
      </c>
      <c r="C8" s="85" t="n">
        <v>197</v>
      </c>
      <c r="D8" s="19" t="n">
        <v>297</v>
      </c>
    </row>
    <row r="9">
      <c r="A9" s="27" t="inlineStr">
        <is>
          <t>Story Mention</t>
        </is>
      </c>
      <c r="B9" s="9" t="n">
        <v>100</v>
      </c>
      <c r="C9" s="85" t="n">
        <v>200</v>
      </c>
      <c r="D9" s="13" t="n">
        <v>350</v>
      </c>
    </row>
    <row r="10">
      <c r="A10" s="35" t="inlineStr">
        <is>
          <t>Feed Carousel</t>
        </is>
      </c>
      <c r="B10" s="15" t="n">
        <v>200</v>
      </c>
      <c r="C10" s="85" t="n">
        <v>500</v>
      </c>
      <c r="D10" s="19" t="n">
        <v>800</v>
      </c>
    </row>
    <row r="11">
      <c r="A11" s="27" t="inlineStr">
        <is>
          <t>Instagram Reel</t>
        </is>
      </c>
      <c r="B11" s="9" t="n">
        <v>350</v>
      </c>
      <c r="C11" s="85" t="n">
        <v>750</v>
      </c>
      <c r="D11" s="13" t="n">
        <v>1250</v>
      </c>
    </row>
    <row r="12">
      <c r="A12" s="35" t="inlineStr">
        <is>
          <t>Content Bundle</t>
        </is>
      </c>
      <c r="B12" s="15" t="n">
        <v>500</v>
      </c>
      <c r="C12" s="85" t="n">
        <v>1200</v>
      </c>
      <c r="D12" s="19" t="n">
        <v>2200</v>
      </c>
    </row>
    <row r="13">
      <c r="A13" s="27" t="inlineStr">
        <is>
          <t>Ambassador (Monthly)</t>
        </is>
      </c>
      <c r="B13" s="9" t="n">
        <v>1500</v>
      </c>
      <c r="C13" s="85" t="n">
        <v>3000</v>
      </c>
      <c r="D13" s="13" t="n">
        <v>5500</v>
      </c>
    </row>
    <row r="14">
      <c r="A14" s="35" t="inlineStr">
        <is>
          <t>Coaching (1 hour)</t>
        </is>
      </c>
      <c r="B14" s="15" t="n">
        <v>100</v>
      </c>
      <c r="C14" s="85" t="n">
        <v>200</v>
      </c>
      <c r="D14" s="19" t="n">
        <v>350</v>
      </c>
    </row>
    <row r="15">
      <c r="A15" s="27" t="inlineStr">
        <is>
          <t>Digital Download</t>
        </is>
      </c>
      <c r="B15" s="9" t="n">
        <v>7</v>
      </c>
      <c r="C15" s="85" t="n">
        <v>17</v>
      </c>
      <c r="D15" s="13" t="n">
        <v>27</v>
      </c>
    </row>
    <row r="16">
      <c r="A16" s="86" t="inlineStr"/>
      <c r="B16" s="87" t="n"/>
      <c r="C16" s="87" t="n"/>
      <c r="D16" s="88" t="n"/>
    </row>
    <row r="17">
      <c r="A17" s="37" t="inlineStr">
        <is>
          <t>Projected Year 1 Revenue</t>
        </is>
      </c>
      <c r="B17" s="38" t="n">
        <v>36000</v>
      </c>
      <c r="C17" s="89" t="n">
        <v>72000</v>
      </c>
      <c r="D17" s="39" t="n">
        <v>108000</v>
      </c>
    </row>
    <row r="18"/>
    <row r="19">
      <c r="A19" s="93" t="inlineStr">
        <is>
          <t>★ Mid-Market pricing is RECOMMENDED for 30K-follower parenting accounts</t>
        </is>
      </c>
      <c r="B19" s="94" t="n"/>
      <c r="C19" s="94" t="n"/>
      <c r="D19" s="95" t="n"/>
    </row>
  </sheetData>
  <mergeCells count="3">
    <mergeCell ref="A2:E2"/>
    <mergeCell ref="A1:E1"/>
    <mergeCell ref="A19:D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32" customHeight="1">
      <c r="A1" s="42" t="inlineStr">
        <is>
          <t>MONTHLY KPI TRACKER — NON-PUNITIVE PARENTING ACCOUNT</t>
        </is>
      </c>
    </row>
    <row r="2">
      <c r="A2" s="43" t="inlineStr">
        <is>
          <t>Track actuals vs targets each month · 30K Starting Followers · Seattle, WA</t>
        </is>
      </c>
    </row>
    <row r="3"/>
    <row r="4" ht="28" customHeight="1">
      <c r="A4" s="44" t="inlineStr">
        <is>
          <t>KPI Metric</t>
        </is>
      </c>
      <c r="B4" s="45" t="inlineStr">
        <is>
          <t>Target</t>
        </is>
      </c>
      <c r="C4" s="45" t="inlineStr">
        <is>
          <t>Month 1</t>
        </is>
      </c>
      <c r="D4" s="45" t="inlineStr">
        <is>
          <t>Month 2</t>
        </is>
      </c>
      <c r="E4" s="45" t="inlineStr">
        <is>
          <t>Month 3</t>
        </is>
      </c>
      <c r="F4" s="45" t="inlineStr">
        <is>
          <t>Month 4</t>
        </is>
      </c>
      <c r="G4" s="45" t="inlineStr">
        <is>
          <t>Month 5</t>
        </is>
      </c>
      <c r="H4" s="45" t="inlineStr">
        <is>
          <t>Month 6</t>
        </is>
      </c>
      <c r="I4" s="45" t="inlineStr">
        <is>
          <t>Month 7</t>
        </is>
      </c>
      <c r="J4" s="45" t="inlineStr">
        <is>
          <t>Month 8</t>
        </is>
      </c>
      <c r="K4" s="45" t="inlineStr">
        <is>
          <t>Month 9</t>
        </is>
      </c>
      <c r="L4" s="45" t="inlineStr">
        <is>
          <t>Month 10</t>
        </is>
      </c>
      <c r="M4" s="45" t="inlineStr">
        <is>
          <t>Month 11</t>
        </is>
      </c>
      <c r="N4" s="47" t="inlineStr">
        <is>
          <t>Month 12</t>
        </is>
      </c>
    </row>
    <row r="5">
      <c r="A5" s="63" t="inlineStr">
        <is>
          <t>GROWTH</t>
        </is>
      </c>
      <c r="B5" s="74" t="n"/>
      <c r="C5" s="74" t="n"/>
      <c r="D5" s="74" t="n"/>
      <c r="E5" s="74" t="n"/>
      <c r="F5" s="74" t="n"/>
      <c r="G5" s="74" t="n"/>
      <c r="H5" s="74" t="n"/>
      <c r="I5" s="74" t="n"/>
      <c r="J5" s="74" t="n"/>
      <c r="K5" s="74" t="n"/>
      <c r="L5" s="74" t="n"/>
      <c r="M5" s="74" t="n"/>
      <c r="N5" s="75" t="n"/>
    </row>
    <row r="6">
      <c r="A6" s="27" t="inlineStr">
        <is>
          <t>Instagram Followers</t>
        </is>
      </c>
      <c r="B6" s="96" t="inlineStr">
        <is>
          <t>5% monthly growth</t>
        </is>
      </c>
      <c r="C6" s="68" t="n">
        <v>30000</v>
      </c>
      <c r="D6" s="68" t="n"/>
      <c r="E6" s="68" t="n"/>
      <c r="F6" s="68" t="n"/>
      <c r="G6" s="68" t="n"/>
      <c r="H6" s="68" t="n"/>
      <c r="I6" s="68" t="n"/>
      <c r="J6" s="68" t="n"/>
      <c r="K6" s="68" t="n"/>
      <c r="L6" s="68" t="n"/>
      <c r="M6" s="68" t="n"/>
      <c r="N6" s="97" t="n"/>
    </row>
    <row r="7">
      <c r="A7" s="35" t="inlineStr">
        <is>
          <t>Email List Size</t>
        </is>
      </c>
      <c r="B7" s="98" t="inlineStr">
        <is>
          <t>700/month</t>
        </is>
      </c>
      <c r="C7" s="66" t="n">
        <v>300</v>
      </c>
      <c r="D7" s="66" t="n"/>
      <c r="E7" s="66" t="n"/>
      <c r="F7" s="66" t="n"/>
      <c r="G7" s="66" t="n"/>
      <c r="H7" s="66" t="n"/>
      <c r="I7" s="66" t="n"/>
      <c r="J7" s="66" t="n"/>
      <c r="K7" s="66" t="n"/>
      <c r="L7" s="66" t="n"/>
      <c r="M7" s="66" t="n"/>
      <c r="N7" s="36" t="n"/>
    </row>
    <row r="8">
      <c r="A8" s="27" t="inlineStr">
        <is>
          <t>Website Monthly Visitors</t>
        </is>
      </c>
      <c r="B8" s="96" t="inlineStr">
        <is>
          <t>Growing</t>
        </is>
      </c>
      <c r="C8" s="68" t="n">
        <v>1500</v>
      </c>
      <c r="D8" s="68" t="n"/>
      <c r="E8" s="68" t="n"/>
      <c r="F8" s="68" t="n"/>
      <c r="G8" s="68" t="n"/>
      <c r="H8" s="68" t="n"/>
      <c r="I8" s="68" t="n"/>
      <c r="J8" s="68" t="n"/>
      <c r="K8" s="68" t="n"/>
      <c r="L8" s="68" t="n"/>
      <c r="M8" s="68" t="n"/>
      <c r="N8" s="97" t="n"/>
    </row>
    <row r="9">
      <c r="A9" s="35" t="inlineStr">
        <is>
          <t>TikTok Followers (if applicable)</t>
        </is>
      </c>
      <c r="B9" s="98" t="inlineStr">
        <is>
          <t>Start building</t>
        </is>
      </c>
      <c r="C9" s="66" t="n">
        <v>0</v>
      </c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36" t="n"/>
    </row>
    <row r="10">
      <c r="A10" s="63" t="inlineStr">
        <is>
          <t>ENGAGEMENT</t>
        </is>
      </c>
      <c r="B10" s="74" t="n"/>
      <c r="C10" s="74" t="n"/>
      <c r="D10" s="74" t="n"/>
      <c r="E10" s="74" t="n"/>
      <c r="F10" s="74" t="n"/>
      <c r="G10" s="74" t="n"/>
      <c r="H10" s="74" t="n"/>
      <c r="I10" s="74" t="n"/>
      <c r="J10" s="74" t="n"/>
      <c r="K10" s="74" t="n"/>
      <c r="L10" s="74" t="n"/>
      <c r="M10" s="74" t="n"/>
      <c r="N10" s="75" t="n"/>
    </row>
    <row r="11">
      <c r="A11" s="35" t="inlineStr">
        <is>
          <t>Engagement Rate</t>
        </is>
      </c>
      <c r="B11" s="98" t="inlineStr">
        <is>
          <t>5%+</t>
        </is>
      </c>
      <c r="C11" s="66" t="inlineStr">
        <is>
          <t>5.0%</t>
        </is>
      </c>
      <c r="D11" s="66" t="n"/>
      <c r="E11" s="66" t="n"/>
      <c r="F11" s="66" t="n"/>
      <c r="G11" s="66" t="n"/>
      <c r="H11" s="66" t="n"/>
      <c r="I11" s="66" t="n"/>
      <c r="J11" s="66" t="n"/>
      <c r="K11" s="66" t="n"/>
      <c r="L11" s="66" t="n"/>
      <c r="M11" s="66" t="n"/>
      <c r="N11" s="36" t="n"/>
    </row>
    <row r="12">
      <c r="A12" s="27" t="inlineStr">
        <is>
          <t>Avg Reel Views</t>
        </is>
      </c>
      <c r="B12" s="96" t="inlineStr">
        <is>
          <t>Growing</t>
        </is>
      </c>
      <c r="C12" s="68" t="n">
        <v>3000</v>
      </c>
      <c r="D12" s="68" t="n"/>
      <c r="E12" s="68" t="n"/>
      <c r="F12" s="68" t="n"/>
      <c r="G12" s="68" t="n"/>
      <c r="H12" s="68" t="n"/>
      <c r="I12" s="68" t="n"/>
      <c r="J12" s="68" t="n"/>
      <c r="K12" s="68" t="n"/>
      <c r="L12" s="68" t="n"/>
      <c r="M12" s="68" t="n"/>
      <c r="N12" s="97" t="n"/>
    </row>
    <row r="13">
      <c r="A13" s="35" t="inlineStr">
        <is>
          <t>Reel Completion Rate</t>
        </is>
      </c>
      <c r="B13" s="98" t="inlineStr">
        <is>
          <t>30–50%</t>
        </is>
      </c>
      <c r="C13" s="66" t="inlineStr">
        <is>
          <t>32%</t>
        </is>
      </c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  <c r="M13" s="66" t="n"/>
      <c r="N13" s="36" t="n"/>
    </row>
    <row r="14">
      <c r="A14" s="27" t="inlineStr">
        <is>
          <t>Save Rate</t>
        </is>
      </c>
      <c r="B14" s="96" t="inlineStr">
        <is>
          <t>2%+</t>
        </is>
      </c>
      <c r="C14" s="68" t="inlineStr">
        <is>
          <t>2.0%</t>
        </is>
      </c>
      <c r="D14" s="68" t="n"/>
      <c r="E14" s="68" t="n"/>
      <c r="F14" s="68" t="n"/>
      <c r="G14" s="68" t="n"/>
      <c r="H14" s="68" t="n"/>
      <c r="I14" s="68" t="n"/>
      <c r="J14" s="68" t="n"/>
      <c r="K14" s="68" t="n"/>
      <c r="L14" s="68" t="n"/>
      <c r="M14" s="68" t="n"/>
      <c r="N14" s="97" t="n"/>
    </row>
    <row r="15">
      <c r="A15" s="35" t="inlineStr">
        <is>
          <t>Share Rate</t>
        </is>
      </c>
      <c r="B15" s="98" t="inlineStr">
        <is>
          <t>1%+</t>
        </is>
      </c>
      <c r="C15" s="66" t="inlineStr">
        <is>
          <t>1.0%</t>
        </is>
      </c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36" t="n"/>
    </row>
    <row r="16">
      <c r="A16" s="27" t="inlineStr">
        <is>
          <t>Story Link CTR</t>
        </is>
      </c>
      <c r="B16" s="96" t="inlineStr">
        <is>
          <t>0.5–2%</t>
        </is>
      </c>
      <c r="C16" s="68" t="inlineStr">
        <is>
          <t>0.8%</t>
        </is>
      </c>
      <c r="D16" s="68" t="n"/>
      <c r="E16" s="68" t="n"/>
      <c r="F16" s="68" t="n"/>
      <c r="G16" s="68" t="n"/>
      <c r="H16" s="68" t="n"/>
      <c r="I16" s="68" t="n"/>
      <c r="J16" s="68" t="n"/>
      <c r="K16" s="68" t="n"/>
      <c r="L16" s="68" t="n"/>
      <c r="M16" s="68" t="n"/>
      <c r="N16" s="97" t="n"/>
    </row>
    <row r="17">
      <c r="A17" s="35" t="inlineStr">
        <is>
          <t>DM Conversations/Week</t>
        </is>
      </c>
      <c r="B17" s="98" t="inlineStr">
        <is>
          <t>10+</t>
        </is>
      </c>
      <c r="C17" s="66" t="n">
        <v>8</v>
      </c>
      <c r="D17" s="66" t="n"/>
      <c r="E17" s="66" t="n"/>
      <c r="F17" s="66" t="n"/>
      <c r="G17" s="66" t="n"/>
      <c r="H17" s="66" t="n"/>
      <c r="I17" s="66" t="n"/>
      <c r="J17" s="66" t="n"/>
      <c r="K17" s="66" t="n"/>
      <c r="L17" s="66" t="n"/>
      <c r="M17" s="66" t="n"/>
      <c r="N17" s="36" t="n"/>
    </row>
    <row r="18">
      <c r="A18" s="63" t="inlineStr">
        <is>
          <t>REVENUE</t>
        </is>
      </c>
      <c r="B18" s="74" t="n"/>
      <c r="C18" s="74" t="n"/>
      <c r="D18" s="74" t="n"/>
      <c r="E18" s="74" t="n"/>
      <c r="F18" s="74" t="n"/>
      <c r="G18" s="74" t="n"/>
      <c r="H18" s="74" t="n"/>
      <c r="I18" s="74" t="n"/>
      <c r="J18" s="74" t="n"/>
      <c r="K18" s="74" t="n"/>
      <c r="L18" s="74" t="n"/>
      <c r="M18" s="74" t="n"/>
      <c r="N18" s="75" t="n"/>
    </row>
    <row r="19">
      <c r="A19" s="35" t="inlineStr">
        <is>
          <t>Total Monthly Revenue</t>
        </is>
      </c>
      <c r="B19" s="98" t="inlineStr">
        <is>
          <t>Growing</t>
        </is>
      </c>
      <c r="C19" s="66" t="n">
        <v>750</v>
      </c>
      <c r="D19" s="66" t="n"/>
      <c r="E19" s="66" t="n"/>
      <c r="F19" s="66" t="n"/>
      <c r="G19" s="66" t="n"/>
      <c r="H19" s="66" t="n"/>
      <c r="I19" s="66" t="n"/>
      <c r="J19" s="66" t="n"/>
      <c r="K19" s="66" t="n"/>
      <c r="L19" s="66" t="n"/>
      <c r="M19" s="66" t="n"/>
      <c r="N19" s="36" t="n"/>
    </row>
    <row r="20">
      <c r="A20" s="27" t="inlineStr">
        <is>
          <t>Brand Deal Revenue</t>
        </is>
      </c>
      <c r="B20" s="96" t="inlineStr">
        <is>
          <t>Growing</t>
        </is>
      </c>
      <c r="C20" s="68" t="n">
        <v>0</v>
      </c>
      <c r="D20" s="68" t="n"/>
      <c r="E20" s="68" t="n"/>
      <c r="F20" s="68" t="n"/>
      <c r="G20" s="68" t="n"/>
      <c r="H20" s="68" t="n"/>
      <c r="I20" s="68" t="n"/>
      <c r="J20" s="68" t="n"/>
      <c r="K20" s="68" t="n"/>
      <c r="L20" s="68" t="n"/>
      <c r="M20" s="68" t="n"/>
      <c r="N20" s="97" t="n"/>
    </row>
    <row r="21">
      <c r="A21" s="35" t="inlineStr">
        <is>
          <t>Course Revenue</t>
        </is>
      </c>
      <c r="B21" s="98" t="inlineStr">
        <is>
          <t>Launch M4</t>
        </is>
      </c>
      <c r="C21" s="66" t="n">
        <v>0</v>
      </c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  <c r="M21" s="66" t="n"/>
      <c r="N21" s="36" t="n"/>
    </row>
    <row r="22">
      <c r="A22" s="27" t="inlineStr">
        <is>
          <t>Membership MRR</t>
        </is>
      </c>
      <c r="B22" s="96" t="inlineStr">
        <is>
          <t>Launch M5</t>
        </is>
      </c>
      <c r="C22" s="68" t="n">
        <v>0</v>
      </c>
      <c r="D22" s="68" t="n"/>
      <c r="E22" s="68" t="n"/>
      <c r="F22" s="68" t="n"/>
      <c r="G22" s="68" t="n"/>
      <c r="H22" s="68" t="n"/>
      <c r="I22" s="68" t="n"/>
      <c r="J22" s="68" t="n"/>
      <c r="K22" s="68" t="n"/>
      <c r="L22" s="68" t="n"/>
      <c r="M22" s="68" t="n"/>
      <c r="N22" s="97" t="n"/>
    </row>
    <row r="23">
      <c r="A23" s="35" t="inlineStr">
        <is>
          <t>Affiliate Revenue</t>
        </is>
      </c>
      <c r="B23" s="98" t="inlineStr">
        <is>
          <t>Growing</t>
        </is>
      </c>
      <c r="C23" s="66" t="n">
        <v>100</v>
      </c>
      <c r="D23" s="66" t="n"/>
      <c r="E23" s="66" t="n"/>
      <c r="F23" s="66" t="n"/>
      <c r="G23" s="66" t="n"/>
      <c r="H23" s="66" t="n"/>
      <c r="I23" s="66" t="n"/>
      <c r="J23" s="66" t="n"/>
      <c r="K23" s="66" t="n"/>
      <c r="L23" s="66" t="n"/>
      <c r="M23" s="66" t="n"/>
      <c r="N23" s="36" t="n"/>
    </row>
    <row r="24">
      <c r="A24" s="27" t="inlineStr">
        <is>
          <t>Coaching Revenue</t>
        </is>
      </c>
      <c r="B24" s="96" t="inlineStr">
        <is>
          <t>Growing</t>
        </is>
      </c>
      <c r="C24" s="68" t="n">
        <v>0</v>
      </c>
      <c r="D24" s="68" t="n"/>
      <c r="E24" s="68" t="n"/>
      <c r="F24" s="68" t="n"/>
      <c r="G24" s="68" t="n"/>
      <c r="H24" s="68" t="n"/>
      <c r="I24" s="68" t="n"/>
      <c r="J24" s="68" t="n"/>
      <c r="K24" s="68" t="n"/>
      <c r="L24" s="68" t="n"/>
      <c r="M24" s="68" t="n"/>
      <c r="N24" s="97" t="n"/>
    </row>
    <row r="25">
      <c r="A25" s="35" t="inlineStr">
        <is>
          <t>Revenue Per Follower (RPF)</t>
        </is>
      </c>
      <c r="B25" s="98" t="inlineStr">
        <is>
          <t>Growing</t>
        </is>
      </c>
      <c r="C25" s="66" t="inlineStr">
        <is>
          <t>$0.025</t>
        </is>
      </c>
      <c r="D25" s="66" t="n"/>
      <c r="E25" s="66" t="n"/>
      <c r="F25" s="66" t="n"/>
      <c r="G25" s="66" t="n"/>
      <c r="H25" s="66" t="n"/>
      <c r="I25" s="66" t="n"/>
      <c r="J25" s="66" t="n"/>
      <c r="K25" s="66" t="n"/>
      <c r="L25" s="66" t="n"/>
      <c r="M25" s="66" t="n"/>
      <c r="N25" s="36" t="n"/>
    </row>
    <row r="26">
      <c r="A26" s="63" t="inlineStr">
        <is>
          <t>CONVERSION</t>
        </is>
      </c>
      <c r="B26" s="74" t="n"/>
      <c r="C26" s="74" t="n"/>
      <c r="D26" s="74" t="n"/>
      <c r="E26" s="74" t="n"/>
      <c r="F26" s="74" t="n"/>
      <c r="G26" s="74" t="n"/>
      <c r="H26" s="74" t="n"/>
      <c r="I26" s="74" t="n"/>
      <c r="J26" s="74" t="n"/>
      <c r="K26" s="74" t="n"/>
      <c r="L26" s="74" t="n"/>
      <c r="M26" s="74" t="n"/>
      <c r="N26" s="75" t="n"/>
    </row>
    <row r="27">
      <c r="A27" s="35" t="inlineStr">
        <is>
          <t>Lead Magnet Downloads</t>
        </is>
      </c>
      <c r="B27" s="98" t="inlineStr">
        <is>
          <t>Growing</t>
        </is>
      </c>
      <c r="C27" s="66" t="n">
        <v>50</v>
      </c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36" t="n"/>
    </row>
    <row r="28">
      <c r="A28" s="27" t="inlineStr">
        <is>
          <t>Email Open Rate</t>
        </is>
      </c>
      <c r="B28" s="96" t="inlineStr">
        <is>
          <t>35%+</t>
        </is>
      </c>
      <c r="C28" s="68" t="inlineStr">
        <is>
          <t>38%</t>
        </is>
      </c>
      <c r="D28" s="68" t="n"/>
      <c r="E28" s="68" t="n"/>
      <c r="F28" s="68" t="n"/>
      <c r="G28" s="68" t="n"/>
      <c r="H28" s="68" t="n"/>
      <c r="I28" s="68" t="n"/>
      <c r="J28" s="68" t="n"/>
      <c r="K28" s="68" t="n"/>
      <c r="L28" s="68" t="n"/>
      <c r="M28" s="68" t="n"/>
      <c r="N28" s="97" t="n"/>
    </row>
    <row r="29">
      <c r="A29" s="35" t="inlineStr">
        <is>
          <t>Email Click Rate</t>
        </is>
      </c>
      <c r="B29" s="98" t="inlineStr">
        <is>
          <t>3%+</t>
        </is>
      </c>
      <c r="C29" s="66" t="inlineStr">
        <is>
          <t>3.2%</t>
        </is>
      </c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36" t="n"/>
    </row>
    <row r="30">
      <c r="A30" s="27" t="inlineStr">
        <is>
          <t>Sales Page Conversion</t>
        </is>
      </c>
      <c r="B30" s="96" t="inlineStr">
        <is>
          <t>3–5%</t>
        </is>
      </c>
      <c r="C30" s="68" t="n"/>
      <c r="D30" s="68" t="n"/>
      <c r="E30" s="68" t="n"/>
      <c r="F30" s="68" t="n"/>
      <c r="G30" s="68" t="n"/>
      <c r="H30" s="68" t="n"/>
      <c r="I30" s="68" t="n"/>
      <c r="J30" s="68" t="n"/>
      <c r="K30" s="68" t="n"/>
      <c r="L30" s="68" t="n"/>
      <c r="M30" s="68" t="n"/>
      <c r="N30" s="97" t="n"/>
    </row>
    <row r="31">
      <c r="A31" s="35" t="inlineStr">
        <is>
          <t>Course Enrollment</t>
        </is>
      </c>
      <c r="B31" s="98" t="inlineStr">
        <is>
          <t>Per cohort</t>
        </is>
      </c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36" t="n"/>
    </row>
    <row r="32">
      <c r="A32" s="27" t="inlineStr">
        <is>
          <t>Membership Sign-ups</t>
        </is>
      </c>
      <c r="B32" s="96" t="inlineStr">
        <is>
          <t>Growing</t>
        </is>
      </c>
      <c r="C32" s="68" t="n"/>
      <c r="D32" s="68" t="n"/>
      <c r="E32" s="68" t="n"/>
      <c r="F32" s="68" t="n"/>
      <c r="G32" s="68" t="n"/>
      <c r="H32" s="68" t="n"/>
      <c r="I32" s="68" t="n"/>
      <c r="J32" s="68" t="n"/>
      <c r="K32" s="68" t="n"/>
      <c r="L32" s="68" t="n"/>
      <c r="M32" s="68" t="n"/>
      <c r="N32" s="97" t="n"/>
    </row>
    <row r="33">
      <c r="A33" s="35" t="inlineStr">
        <is>
          <t>Membership Churn Rate</t>
        </is>
      </c>
      <c r="B33" s="98" t="inlineStr">
        <is>
          <t>Under 8%/mo</t>
        </is>
      </c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36" t="n"/>
    </row>
    <row r="34">
      <c r="A34" s="63" t="inlineStr">
        <is>
          <t>CONTENT</t>
        </is>
      </c>
      <c r="B34" s="74" t="n"/>
      <c r="C34" s="74" t="n"/>
      <c r="D34" s="74" t="n"/>
      <c r="E34" s="74" t="n"/>
      <c r="F34" s="74" t="n"/>
      <c r="G34" s="74" t="n"/>
      <c r="H34" s="74" t="n"/>
      <c r="I34" s="74" t="n"/>
      <c r="J34" s="74" t="n"/>
      <c r="K34" s="74" t="n"/>
      <c r="L34" s="74" t="n"/>
      <c r="M34" s="74" t="n"/>
      <c r="N34" s="75" t="n"/>
    </row>
    <row r="35">
      <c r="A35" s="35" t="inlineStr">
        <is>
          <t>Posts Published</t>
        </is>
      </c>
      <c r="B35" s="98" t="inlineStr">
        <is>
          <t>3–5/week</t>
        </is>
      </c>
      <c r="C35" s="66" t="n">
        <v>12</v>
      </c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36" t="n"/>
    </row>
    <row r="36">
      <c r="A36" s="27" t="inlineStr">
        <is>
          <t>Reels Published</t>
        </is>
      </c>
      <c r="B36" s="96" t="inlineStr">
        <is>
          <t>5–7/week</t>
        </is>
      </c>
      <c r="C36" s="68" t="n">
        <v>20</v>
      </c>
      <c r="D36" s="68" t="n"/>
      <c r="E36" s="68" t="n"/>
      <c r="F36" s="68" t="n"/>
      <c r="G36" s="68" t="n"/>
      <c r="H36" s="68" t="n"/>
      <c r="I36" s="68" t="n"/>
      <c r="J36" s="68" t="n"/>
      <c r="K36" s="68" t="n"/>
      <c r="L36" s="68" t="n"/>
      <c r="M36" s="68" t="n"/>
      <c r="N36" s="97" t="n"/>
    </row>
    <row r="37">
      <c r="A37" s="35" t="inlineStr">
        <is>
          <t>Carousels Published</t>
        </is>
      </c>
      <c r="B37" s="98" t="inlineStr">
        <is>
          <t>2–3/week</t>
        </is>
      </c>
      <c r="C37" s="66" t="n">
        <v>8</v>
      </c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36" t="n"/>
    </row>
    <row r="38">
      <c r="A38" s="27" t="inlineStr">
        <is>
          <t>Stories Published</t>
        </is>
      </c>
      <c r="B38" s="96" t="inlineStr">
        <is>
          <t>Daily</t>
        </is>
      </c>
      <c r="C38" s="68" t="n">
        <v>30</v>
      </c>
      <c r="D38" s="68" t="n"/>
      <c r="E38" s="68" t="n"/>
      <c r="F38" s="68" t="n"/>
      <c r="G38" s="68" t="n"/>
      <c r="H38" s="68" t="n"/>
      <c r="I38" s="68" t="n"/>
      <c r="J38" s="68" t="n"/>
      <c r="K38" s="68" t="n"/>
      <c r="L38" s="68" t="n"/>
      <c r="M38" s="68" t="n"/>
      <c r="N38" s="97" t="n"/>
    </row>
    <row r="39">
      <c r="A39" s="71" t="inlineStr">
        <is>
          <t>Collaborations/Collabs</t>
        </is>
      </c>
      <c r="B39" s="99" t="inlineStr">
        <is>
          <t>1–2/month</t>
        </is>
      </c>
      <c r="C39" s="72" t="n">
        <v>0</v>
      </c>
      <c r="D39" s="72" t="n"/>
      <c r="E39" s="72" t="n"/>
      <c r="F39" s="72" t="n"/>
      <c r="G39" s="72" t="n"/>
      <c r="H39" s="72" t="n"/>
      <c r="I39" s="72" t="n"/>
      <c r="J39" s="72" t="n"/>
      <c r="K39" s="72" t="n"/>
      <c r="L39" s="72" t="n"/>
      <c r="M39" s="72" t="n"/>
      <c r="N39" s="100" t="n"/>
    </row>
  </sheetData>
  <mergeCells count="7">
    <mergeCell ref="A18:N18"/>
    <mergeCell ref="A34:N34"/>
    <mergeCell ref="A26:N26"/>
    <mergeCell ref="A2:N2"/>
    <mergeCell ref="A10:N10"/>
    <mergeCell ref="A5:N5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2" customHeight="1">
      <c r="A1" s="42" t="inlineStr">
        <is>
          <t>6-MONTH LAUNCH ROADMAP — NON-PUNITIVE PARENTING ACCOUNT</t>
        </is>
      </c>
    </row>
    <row r="2">
      <c r="A2" s="43" t="inlineStr">
        <is>
          <t>Gantt-Style Calendar · Luis · Seattle, WA · Starting May 2026</t>
        </is>
      </c>
    </row>
    <row r="3"/>
    <row r="4" ht="28" customHeight="1">
      <c r="A4" s="44" t="inlineStr">
        <is>
          <t>Activity</t>
        </is>
      </c>
      <c r="B4" s="45" t="inlineStr">
        <is>
          <t>Month 1</t>
        </is>
      </c>
      <c r="C4" s="45" t="inlineStr">
        <is>
          <t>Month 2</t>
        </is>
      </c>
      <c r="D4" s="45" t="inlineStr">
        <is>
          <t>Month 3</t>
        </is>
      </c>
      <c r="E4" s="45" t="inlineStr">
        <is>
          <t>Month 4</t>
        </is>
      </c>
      <c r="F4" s="45" t="inlineStr">
        <is>
          <t>Month 5</t>
        </is>
      </c>
      <c r="G4" s="47" t="inlineStr">
        <is>
          <t>Month 6</t>
        </is>
      </c>
    </row>
    <row r="5">
      <c r="A5" s="63" t="inlineStr">
        <is>
          <t>SETUP &amp; FOUNDATION</t>
        </is>
      </c>
      <c r="B5" s="64" t="n"/>
      <c r="C5" s="64" t="n"/>
      <c r="D5" s="64" t="n"/>
      <c r="E5" s="64" t="n"/>
      <c r="F5" s="64" t="n"/>
      <c r="G5" s="65" t="n"/>
    </row>
    <row r="6">
      <c r="A6" s="27" t="inlineStr">
        <is>
          <t>Profile Optimization</t>
        </is>
      </c>
      <c r="B6" s="101" t="inlineStr">
        <is>
          <t>X</t>
        </is>
      </c>
      <c r="C6" s="68" t="inlineStr"/>
      <c r="D6" s="68" t="inlineStr"/>
      <c r="E6" s="68" t="inlineStr"/>
      <c r="F6" s="68" t="inlineStr"/>
      <c r="G6" s="97" t="inlineStr"/>
    </row>
    <row r="7">
      <c r="A7" s="35" t="inlineStr">
        <is>
          <t>Lead Magnet Creation</t>
        </is>
      </c>
      <c r="B7" s="101" t="inlineStr">
        <is>
          <t>X</t>
        </is>
      </c>
      <c r="C7" s="66" t="inlineStr"/>
      <c r="D7" s="66" t="inlineStr"/>
      <c r="E7" s="66" t="inlineStr"/>
      <c r="F7" s="66" t="inlineStr"/>
      <c r="G7" s="36" t="inlineStr"/>
    </row>
    <row r="8">
      <c r="A8" s="27" t="inlineStr">
        <is>
          <t>Email Platform Setup</t>
        </is>
      </c>
      <c r="B8" s="101" t="inlineStr">
        <is>
          <t>X</t>
        </is>
      </c>
      <c r="C8" s="68" t="inlineStr"/>
      <c r="D8" s="68" t="inlineStr"/>
      <c r="E8" s="68" t="inlineStr"/>
      <c r="F8" s="68" t="inlineStr"/>
      <c r="G8" s="97" t="inlineStr"/>
    </row>
    <row r="9" ht="8" customHeight="1">
      <c r="A9" s="70" t="inlineStr"/>
      <c r="B9" s="64" t="inlineStr"/>
      <c r="C9" s="64" t="inlineStr"/>
      <c r="D9" s="64" t="inlineStr"/>
      <c r="E9" s="64" t="inlineStr"/>
      <c r="F9" s="64" t="inlineStr"/>
      <c r="G9" s="65" t="inlineStr"/>
    </row>
    <row r="10">
      <c r="A10" s="63" t="inlineStr">
        <is>
          <t>CONTENT &amp; GROWTH</t>
        </is>
      </c>
      <c r="B10" s="64" t="n"/>
      <c r="C10" s="64" t="n"/>
      <c r="D10" s="64" t="n"/>
      <c r="E10" s="64" t="n"/>
      <c r="F10" s="64" t="n"/>
      <c r="G10" s="65" t="n"/>
    </row>
    <row r="11">
      <c r="A11" s="35" t="inlineStr">
        <is>
          <t>Daily Reel Strategy Launch</t>
        </is>
      </c>
      <c r="B11" s="101" t="inlineStr">
        <is>
          <t>X</t>
        </is>
      </c>
      <c r="C11" s="101" t="inlineStr">
        <is>
          <t>X</t>
        </is>
      </c>
      <c r="D11" s="101" t="inlineStr">
        <is>
          <t>X</t>
        </is>
      </c>
      <c r="E11" s="101" t="inlineStr">
        <is>
          <t>X</t>
        </is>
      </c>
      <c r="F11" s="101" t="inlineStr">
        <is>
          <t>X</t>
        </is>
      </c>
      <c r="G11" s="102" t="inlineStr">
        <is>
          <t>X</t>
        </is>
      </c>
    </row>
    <row r="12">
      <c r="A12" s="27" t="inlineStr">
        <is>
          <t>Lead Magnet Launch</t>
        </is>
      </c>
      <c r="B12" s="68" t="inlineStr"/>
      <c r="C12" s="101" t="inlineStr">
        <is>
          <t>X</t>
        </is>
      </c>
      <c r="D12" s="68" t="inlineStr"/>
      <c r="E12" s="68" t="inlineStr"/>
      <c r="F12" s="68" t="inlineStr"/>
      <c r="G12" s="97" t="inlineStr"/>
    </row>
    <row r="13">
      <c r="A13" s="35" t="inlineStr">
        <is>
          <t>Email Nurture Sequence Active</t>
        </is>
      </c>
      <c r="B13" s="66" t="inlineStr"/>
      <c r="C13" s="101" t="inlineStr">
        <is>
          <t>X</t>
        </is>
      </c>
      <c r="D13" s="101" t="inlineStr">
        <is>
          <t>X</t>
        </is>
      </c>
      <c r="E13" s="101" t="inlineStr">
        <is>
          <t>X</t>
        </is>
      </c>
      <c r="F13" s="101" t="inlineStr">
        <is>
          <t>X</t>
        </is>
      </c>
      <c r="G13" s="102" t="inlineStr">
        <is>
          <t>X</t>
        </is>
      </c>
    </row>
    <row r="14">
      <c r="A14" s="27" t="inlineStr">
        <is>
          <t>Content Repurposing (TikTok, Pinterest)</t>
        </is>
      </c>
      <c r="B14" s="68" t="inlineStr"/>
      <c r="C14" s="101" t="inlineStr">
        <is>
          <t>X</t>
        </is>
      </c>
      <c r="D14" s="101" t="inlineStr">
        <is>
          <t>X</t>
        </is>
      </c>
      <c r="E14" s="101" t="inlineStr">
        <is>
          <t>X</t>
        </is>
      </c>
      <c r="F14" s="101" t="inlineStr">
        <is>
          <t>X</t>
        </is>
      </c>
      <c r="G14" s="102" t="inlineStr">
        <is>
          <t>X</t>
        </is>
      </c>
    </row>
    <row r="15" ht="8" customHeight="1">
      <c r="A15" s="70" t="inlineStr"/>
      <c r="B15" s="64" t="inlineStr"/>
      <c r="C15" s="64" t="inlineStr"/>
      <c r="D15" s="64" t="inlineStr"/>
      <c r="E15" s="64" t="inlineStr"/>
      <c r="F15" s="64" t="inlineStr"/>
      <c r="G15" s="65" t="inlineStr"/>
    </row>
    <row r="16">
      <c r="A16" s="63" t="inlineStr">
        <is>
          <t>MONETIZATION</t>
        </is>
      </c>
      <c r="B16" s="64" t="n"/>
      <c r="C16" s="64" t="n"/>
      <c r="D16" s="64" t="n"/>
      <c r="E16" s="64" t="n"/>
      <c r="F16" s="64" t="n"/>
      <c r="G16" s="65" t="n"/>
    </row>
    <row r="17">
      <c r="A17" s="35" t="inlineStr">
        <is>
          <t>First Brand Deals</t>
        </is>
      </c>
      <c r="B17" s="66" t="inlineStr"/>
      <c r="C17" s="101" t="inlineStr">
        <is>
          <t>X</t>
        </is>
      </c>
      <c r="D17" s="101" t="inlineStr">
        <is>
          <t>X</t>
        </is>
      </c>
      <c r="E17" s="101" t="inlineStr">
        <is>
          <t>X</t>
        </is>
      </c>
      <c r="F17" s="101" t="inlineStr">
        <is>
          <t>X</t>
        </is>
      </c>
      <c r="G17" s="102" t="inlineStr">
        <is>
          <t>X</t>
        </is>
      </c>
    </row>
    <row r="18">
      <c r="A18" s="27" t="inlineStr">
        <is>
          <t>Flagship Course Development</t>
        </is>
      </c>
      <c r="B18" s="68" t="inlineStr"/>
      <c r="C18" s="68" t="inlineStr"/>
      <c r="D18" s="101" t="inlineStr">
        <is>
          <t>X</t>
        </is>
      </c>
      <c r="E18" s="68" t="inlineStr"/>
      <c r="F18" s="68" t="inlineStr"/>
      <c r="G18" s="97" t="inlineStr"/>
    </row>
    <row r="19">
      <c r="A19" s="35" t="inlineStr">
        <is>
          <t>Beta Course Test (10 students)</t>
        </is>
      </c>
      <c r="B19" s="66" t="inlineStr"/>
      <c r="C19" s="66" t="inlineStr"/>
      <c r="D19" s="101" t="inlineStr">
        <is>
          <t>X</t>
        </is>
      </c>
      <c r="E19" s="66" t="inlineStr"/>
      <c r="F19" s="66" t="inlineStr"/>
      <c r="G19" s="36" t="inlineStr"/>
    </row>
    <row r="20">
      <c r="A20" s="27" t="inlineStr">
        <is>
          <t>Flagship Course Launch (Cohort 1)</t>
        </is>
      </c>
      <c r="B20" s="68" t="inlineStr"/>
      <c r="C20" s="68" t="inlineStr"/>
      <c r="D20" s="68" t="inlineStr"/>
      <c r="E20" s="101" t="inlineStr">
        <is>
          <t>X</t>
        </is>
      </c>
      <c r="F20" s="68" t="inlineStr"/>
      <c r="G20" s="97" t="inlineStr"/>
    </row>
    <row r="21">
      <c r="A21" s="35" t="inlineStr">
        <is>
          <t>Course Launch Email Sequence</t>
        </is>
      </c>
      <c r="B21" s="66" t="inlineStr"/>
      <c r="C21" s="66" t="inlineStr"/>
      <c r="D21" s="66" t="inlineStr"/>
      <c r="E21" s="101" t="inlineStr">
        <is>
          <t>X</t>
        </is>
      </c>
      <c r="F21" s="66" t="inlineStr"/>
      <c r="G21" s="36" t="inlineStr"/>
    </row>
    <row r="22">
      <c r="A22" s="27" t="inlineStr">
        <is>
          <t>Membership Soft Launch</t>
        </is>
      </c>
      <c r="B22" s="68" t="inlineStr"/>
      <c r="C22" s="68" t="inlineStr"/>
      <c r="D22" s="68" t="inlineStr"/>
      <c r="E22" s="68" t="inlineStr"/>
      <c r="F22" s="101" t="inlineStr">
        <is>
          <t>X</t>
        </is>
      </c>
      <c r="G22" s="97" t="inlineStr"/>
    </row>
    <row r="23">
      <c r="A23" s="35" t="inlineStr">
        <is>
          <t>Second Course Cohort</t>
        </is>
      </c>
      <c r="B23" s="66" t="inlineStr"/>
      <c r="C23" s="66" t="inlineStr"/>
      <c r="D23" s="66" t="inlineStr"/>
      <c r="E23" s="66" t="inlineStr"/>
      <c r="F23" s="66" t="inlineStr"/>
      <c r="G23" s="102" t="inlineStr">
        <is>
          <t>X</t>
        </is>
      </c>
    </row>
    <row r="24" ht="8" customHeight="1">
      <c r="A24" s="70" t="inlineStr"/>
      <c r="B24" s="64" t="inlineStr"/>
      <c r="C24" s="64" t="inlineStr"/>
      <c r="D24" s="64" t="inlineStr"/>
      <c r="E24" s="64" t="inlineStr"/>
      <c r="F24" s="64" t="inlineStr"/>
      <c r="G24" s="65" t="inlineStr"/>
    </row>
    <row r="25">
      <c r="A25" s="63" t="inlineStr">
        <is>
          <t>EXPANSION</t>
        </is>
      </c>
      <c r="B25" s="64" t="n"/>
      <c r="C25" s="64" t="n"/>
      <c r="D25" s="64" t="n"/>
      <c r="E25" s="64" t="n"/>
      <c r="F25" s="64" t="n"/>
      <c r="G25" s="65" t="n"/>
    </row>
    <row r="26">
      <c r="A26" s="27" t="inlineStr">
        <is>
          <t>Spanish Content Launch</t>
        </is>
      </c>
      <c r="B26" s="68" t="inlineStr"/>
      <c r="C26" s="68" t="inlineStr"/>
      <c r="D26" s="68" t="inlineStr"/>
      <c r="E26" s="68" t="inlineStr"/>
      <c r="F26" s="101" t="inlineStr">
        <is>
          <t>X</t>
        </is>
      </c>
      <c r="G26" s="97" t="inlineStr"/>
    </row>
    <row r="27">
      <c r="A27" s="35" t="inlineStr">
        <is>
          <t>Spanish Lead Magnet Launch</t>
        </is>
      </c>
      <c r="B27" s="66" t="inlineStr"/>
      <c r="C27" s="66" t="inlineStr"/>
      <c r="D27" s="66" t="inlineStr"/>
      <c r="E27" s="66" t="inlineStr"/>
      <c r="F27" s="66" t="inlineStr"/>
      <c r="G27" s="102" t="inlineStr">
        <is>
          <t>X</t>
        </is>
      </c>
    </row>
    <row r="28">
      <c r="A28" s="27" t="inlineStr">
        <is>
          <t>Full Funnel Optimization</t>
        </is>
      </c>
      <c r="B28" s="68" t="inlineStr"/>
      <c r="C28" s="68" t="inlineStr"/>
      <c r="D28" s="68" t="inlineStr"/>
      <c r="E28" s="68" t="inlineStr"/>
      <c r="F28" s="68" t="inlineStr"/>
      <c r="G28" s="102" t="inlineStr">
        <is>
          <t>X</t>
        </is>
      </c>
    </row>
    <row r="29">
      <c r="A29" s="71" t="inlineStr">
        <is>
          <t>KPI Review &amp; Strategy Refresh</t>
        </is>
      </c>
      <c r="B29" s="72" t="inlineStr"/>
      <c r="C29" s="72" t="inlineStr"/>
      <c r="D29" s="72" t="inlineStr"/>
      <c r="E29" s="72" t="inlineStr"/>
      <c r="F29" s="72" t="inlineStr"/>
      <c r="G29" s="103" t="inlineStr">
        <is>
          <t>X</t>
        </is>
      </c>
    </row>
    <row r="30"/>
    <row r="31"/>
    <row r="32">
      <c r="A32" s="104" t="inlineStr">
        <is>
          <t>LEGEND:</t>
        </is>
      </c>
      <c r="B32" s="105" t="inlineStr">
        <is>
          <t>X</t>
        </is>
      </c>
      <c r="C32" s="106">
        <f> Active during this month</f>
        <v/>
      </c>
    </row>
  </sheetData>
  <mergeCells count="6">
    <mergeCell ref="A2:H2"/>
    <mergeCell ref="A25:G25"/>
    <mergeCell ref="A16:G16"/>
    <mergeCell ref="A1:H1"/>
    <mergeCell ref="A10:G10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2026-04-21T00:26:38Z</dcterms:created>
  <dcterms:modified xmlns:dcterms="http://purl.org/dc/terms/" xmlns:xsi="http://www.w3.org/2001/XMLSchema-instance" xsi:type="dcterms:W3CDTF">2026-04-21T00:31:43Z</dcterms:modified>
</cp:coreProperties>
</file>